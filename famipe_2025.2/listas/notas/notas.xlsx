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\python\listas\notas\"/>
    </mc:Choice>
  </mc:AlternateContent>
  <xr:revisionPtr revIDLastSave="0" documentId="13_ncr:1_{7F0E220B-1767-4B65-A4A9-4DFFDA6AEB77}" xr6:coauthVersionLast="47" xr6:coauthVersionMax="47" xr10:uidLastSave="{00000000-0000-0000-0000-000000000000}"/>
  <bookViews>
    <workbookView xWindow="-120" yWindow="-120" windowWidth="29040" windowHeight="15720" xr2:uid="{E3452A3C-EFF9-4625-AD65-2E1BA4CED185}"/>
  </bookViews>
  <sheets>
    <sheet name="Programação em Ambiente Visual" sheetId="4" r:id="rId1"/>
    <sheet name="Programação Estruturada" sheetId="2" r:id="rId2"/>
  </sheets>
  <definedNames>
    <definedName name="DadosExternos_1" localSheetId="1" hidden="1">'Programação Estruturada'!$A$1:$J$39</definedName>
    <definedName name="DadosExternos_2" localSheetId="0" hidden="1">'Programação em Ambiente Visual'!$A$1:$J$39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4" l="1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J22" i="4" s="1"/>
  <c r="K22" i="4" s="1"/>
  <c r="I23" i="4"/>
  <c r="I24" i="4"/>
  <c r="J24" i="4" s="1"/>
  <c r="K24" i="4" s="1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3" i="4"/>
  <c r="I4" i="4"/>
  <c r="I5" i="4"/>
  <c r="I6" i="4"/>
  <c r="I2" i="4"/>
  <c r="H3" i="4"/>
  <c r="H4" i="4"/>
  <c r="H5" i="4"/>
  <c r="J5" i="4" s="1"/>
  <c r="K5" i="4" s="1"/>
  <c r="H6" i="4"/>
  <c r="H7" i="4"/>
  <c r="J7" i="4" s="1"/>
  <c r="K7" i="4" s="1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J27" i="4" s="1"/>
  <c r="K27" i="4" s="1"/>
  <c r="H28" i="4"/>
  <c r="H29" i="4"/>
  <c r="H30" i="4"/>
  <c r="H31" i="4"/>
  <c r="H32" i="4"/>
  <c r="H33" i="4"/>
  <c r="H34" i="4"/>
  <c r="H35" i="4"/>
  <c r="H36" i="4"/>
  <c r="H37" i="4"/>
  <c r="H38" i="4"/>
  <c r="H39" i="4"/>
  <c r="H2" i="4"/>
  <c r="H23" i="2"/>
  <c r="H24" i="2"/>
  <c r="H25" i="2"/>
  <c r="H26" i="2"/>
  <c r="H27" i="2"/>
  <c r="H28" i="2"/>
  <c r="H29" i="2"/>
  <c r="H30" i="2"/>
  <c r="H31" i="2"/>
  <c r="H32" i="2"/>
  <c r="H33" i="2"/>
  <c r="H34" i="2"/>
  <c r="J34" i="2" s="1"/>
  <c r="K34" i="2" s="1"/>
  <c r="H35" i="2"/>
  <c r="H36" i="2"/>
  <c r="H37" i="2"/>
  <c r="H38" i="2"/>
  <c r="H39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3" i="2"/>
  <c r="H2" i="2"/>
  <c r="I5" i="2"/>
  <c r="J5" i="2" s="1"/>
  <c r="K5" i="2" s="1"/>
  <c r="I6" i="2"/>
  <c r="I7" i="2"/>
  <c r="J7" i="2" s="1"/>
  <c r="K7" i="2" s="1"/>
  <c r="I8" i="2"/>
  <c r="J8" i="2" s="1"/>
  <c r="K8" i="2" s="1"/>
  <c r="I9" i="2"/>
  <c r="J9" i="2" s="1"/>
  <c r="K9" i="2" s="1"/>
  <c r="I10" i="2"/>
  <c r="J10" i="2" s="1"/>
  <c r="K10" i="2" s="1"/>
  <c r="I11" i="2"/>
  <c r="J11" i="2" s="1"/>
  <c r="K11" i="2" s="1"/>
  <c r="I12" i="2"/>
  <c r="J12" i="2" s="1"/>
  <c r="K12" i="2" s="1"/>
  <c r="I13" i="2"/>
  <c r="J13" i="2" s="1"/>
  <c r="K13" i="2" s="1"/>
  <c r="I14" i="2"/>
  <c r="I15" i="2"/>
  <c r="J15" i="2" s="1"/>
  <c r="K15" i="2" s="1"/>
  <c r="I16" i="2"/>
  <c r="I17" i="2"/>
  <c r="I18" i="2"/>
  <c r="J18" i="2" s="1"/>
  <c r="K18" i="2" s="1"/>
  <c r="I19" i="2"/>
  <c r="J19" i="2" s="1"/>
  <c r="K19" i="2" s="1"/>
  <c r="I20" i="2"/>
  <c r="J20" i="2" s="1"/>
  <c r="K20" i="2" s="1"/>
  <c r="I21" i="2"/>
  <c r="J21" i="2" s="1"/>
  <c r="K21" i="2" s="1"/>
  <c r="I22" i="2"/>
  <c r="J22" i="2" s="1"/>
  <c r="K22" i="2" s="1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" i="2"/>
  <c r="J4" i="2" s="1"/>
  <c r="K4" i="2" s="1"/>
  <c r="I3" i="2"/>
  <c r="I2" i="2"/>
  <c r="J2" i="4"/>
  <c r="K2" i="4" s="1"/>
  <c r="J6" i="2"/>
  <c r="K6" i="2" s="1"/>
  <c r="J39" i="2"/>
  <c r="K39" i="2" s="1"/>
  <c r="J25" i="4" l="1"/>
  <c r="K25" i="4" s="1"/>
  <c r="J26" i="4"/>
  <c r="K26" i="4" s="1"/>
  <c r="J3" i="4"/>
  <c r="K3" i="4" s="1"/>
  <c r="J4" i="4"/>
  <c r="K4" i="4" s="1"/>
  <c r="J17" i="4"/>
  <c r="K17" i="4" s="1"/>
  <c r="J28" i="4"/>
  <c r="K28" i="4" s="1"/>
  <c r="J23" i="4"/>
  <c r="K23" i="4" s="1"/>
  <c r="J21" i="4"/>
  <c r="K21" i="4" s="1"/>
  <c r="J18" i="4"/>
  <c r="K18" i="4" s="1"/>
  <c r="J19" i="4"/>
  <c r="K19" i="4" s="1"/>
  <c r="J20" i="4"/>
  <c r="K20" i="4" s="1"/>
  <c r="J29" i="4"/>
  <c r="K29" i="4" s="1"/>
  <c r="J30" i="4"/>
  <c r="K30" i="4" s="1"/>
  <c r="J31" i="4"/>
  <c r="K31" i="4" s="1"/>
  <c r="J32" i="4"/>
  <c r="K32" i="4" s="1"/>
  <c r="J33" i="4"/>
  <c r="K33" i="4" s="1"/>
  <c r="J34" i="4"/>
  <c r="K34" i="4" s="1"/>
  <c r="J35" i="4"/>
  <c r="K35" i="4" s="1"/>
  <c r="J36" i="4"/>
  <c r="K36" i="4" s="1"/>
  <c r="J37" i="4"/>
  <c r="K37" i="4" s="1"/>
  <c r="J38" i="4"/>
  <c r="K38" i="4" s="1"/>
  <c r="J39" i="4"/>
  <c r="K39" i="4" s="1"/>
  <c r="J6" i="4"/>
  <c r="K6" i="4" s="1"/>
  <c r="J36" i="2"/>
  <c r="K36" i="2" s="1"/>
  <c r="J38" i="2"/>
  <c r="K38" i="2" s="1"/>
  <c r="J37" i="2"/>
  <c r="K37" i="2" s="1"/>
  <c r="J33" i="2"/>
  <c r="K33" i="2" s="1"/>
  <c r="J35" i="2"/>
  <c r="K35" i="2" s="1"/>
  <c r="J16" i="2"/>
  <c r="K16" i="2" s="1"/>
  <c r="J17" i="2"/>
  <c r="K17" i="2" s="1"/>
  <c r="J8" i="4"/>
  <c r="K8" i="4" s="1"/>
  <c r="J9" i="4"/>
  <c r="K9" i="4" s="1"/>
  <c r="J10" i="4"/>
  <c r="K10" i="4" s="1"/>
  <c r="J11" i="4"/>
  <c r="K11" i="4" s="1"/>
  <c r="J12" i="4"/>
  <c r="K12" i="4" s="1"/>
  <c r="J13" i="4"/>
  <c r="K13" i="4" s="1"/>
  <c r="J14" i="4"/>
  <c r="K14" i="4" s="1"/>
  <c r="J15" i="4"/>
  <c r="K15" i="4" s="1"/>
  <c r="J16" i="4"/>
  <c r="K16" i="4" s="1"/>
  <c r="J26" i="2"/>
  <c r="K26" i="2" s="1"/>
  <c r="J27" i="2"/>
  <c r="K27" i="2" s="1"/>
  <c r="J31" i="2"/>
  <c r="K31" i="2" s="1"/>
  <c r="J23" i="2"/>
  <c r="K23" i="2" s="1"/>
  <c r="J30" i="2"/>
  <c r="K30" i="2" s="1"/>
  <c r="J25" i="2"/>
  <c r="K25" i="2" s="1"/>
  <c r="J28" i="2"/>
  <c r="K28" i="2" s="1"/>
  <c r="J24" i="2"/>
  <c r="K24" i="2" s="1"/>
  <c r="J29" i="2"/>
  <c r="K29" i="2" s="1"/>
  <c r="J32" i="2"/>
  <c r="K32" i="2" s="1"/>
  <c r="J14" i="2"/>
  <c r="K14" i="2" s="1"/>
  <c r="J3" i="2"/>
  <c r="K3" i="2" s="1"/>
  <c r="J2" i="2"/>
  <c r="K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ADD7FD-EEEC-4719-8CCA-F59BFB331AEA}" keepAlive="1" name="Consulta - pav_nf" description="Conexão com a consulta 'pav_nf' na pasta de trabalho." type="5" refreshedVersion="8" background="1" saveData="1">
    <dbPr connection="Provider=Microsoft.Mashup.OleDb.1;Data Source=$Workbook$;Location=pav_nf;Extended Properties=&quot;&quot;" command="SELECT * FROM [pav_nf]"/>
  </connection>
  <connection id="2" xr16:uid="{030DADCC-7D87-4532-BB37-4F8F2616BB97}" keepAlive="1" name="Consulta - pe_nf" description="Conexão com a consulta 'pe_nf' na pasta de trabalho." type="5" refreshedVersion="8" background="1" saveData="1">
    <dbPr connection="Provider=Microsoft.Mashup.OleDb.1;Data Source=$Workbook$;Location=pe_nf;Extended Properties=&quot;&quot;" command="SELECT * FROM [pe_nf]"/>
  </connection>
</connections>
</file>

<file path=xl/sharedStrings.xml><?xml version="1.0" encoding="utf-8"?>
<sst xmlns="http://schemas.openxmlformats.org/spreadsheetml/2006/main" count="287" uniqueCount="163">
  <si>
    <t>file</t>
  </si>
  <si>
    <t>name</t>
  </si>
  <si>
    <t>matricula</t>
  </si>
  <si>
    <t>P1</t>
  </si>
  <si>
    <t>L1</t>
  </si>
  <si>
    <t>L2</t>
  </si>
  <si>
    <t>P2</t>
  </si>
  <si>
    <t>A1</t>
  </si>
  <si>
    <t>A2</t>
  </si>
  <si>
    <t>Nota Final</t>
  </si>
  <si>
    <t>2025-10-16 - Ana Julia Martins Costa - T202520164.pdf</t>
  </si>
  <si>
    <t>Ana Julia Martins Costa</t>
  </si>
  <si>
    <t>T202520164</t>
  </si>
  <si>
    <t>2025-10-16 - Anna Julia Ventura da Conceicao - T202520160.pdf</t>
  </si>
  <si>
    <t>Anna Júlia Ventura da Conceição</t>
  </si>
  <si>
    <t>T202520160</t>
  </si>
  <si>
    <t>2025-10-16 - Antony Faria Lourenco Santana Silva - T202520166.pdf</t>
  </si>
  <si>
    <t>Antony Faria Lourenço Santana Silva</t>
  </si>
  <si>
    <t>T202520166</t>
  </si>
  <si>
    <t>2025-10-16 - Arianne da Silva Oliveira - T202520158.pdf</t>
  </si>
  <si>
    <t>Arianne da Silva Oliveira</t>
  </si>
  <si>
    <t>T202520158</t>
  </si>
  <si>
    <t>2025-10-16 - Arthur de Araujo Alverez Carvalho - T202520156.pdf</t>
  </si>
  <si>
    <t>Arthur de Araújo Alverez Carvalho</t>
  </si>
  <si>
    <t>T202520156</t>
  </si>
  <si>
    <t>2025-10-16 - Barbara Celestina Oza - T202520179.pdf</t>
  </si>
  <si>
    <t>Bárbara Celestina Oza</t>
  </si>
  <si>
    <t>T202520179</t>
  </si>
  <si>
    <t>2025-10-16 - Caio Mendonca Monsores - T202520157.pdf</t>
  </si>
  <si>
    <t>Caio Mendonça Monsores</t>
  </si>
  <si>
    <t>T202520157</t>
  </si>
  <si>
    <t>2025-10-16 - Daniel de Souza Araujo - T202520174.pdf</t>
  </si>
  <si>
    <t>Daniel de Souza Araujo</t>
  </si>
  <si>
    <t>T202520174</t>
  </si>
  <si>
    <t>2025-10-16 - Daniel Rocha Brito - T202520169.pdf</t>
  </si>
  <si>
    <t>Daniel Rocha Brito</t>
  </si>
  <si>
    <t>T202520169</t>
  </si>
  <si>
    <t>2025-10-16 - Edson Lima Brasil Junior - T202520098.pdf</t>
  </si>
  <si>
    <t>Edson Lima Brasil Júnior</t>
  </si>
  <si>
    <t>T202520098</t>
  </si>
  <si>
    <t>2025-10-16 - Emmily Goulart Costa - T202520172.pdf</t>
  </si>
  <si>
    <t>Emmily Goulart Costa</t>
  </si>
  <si>
    <t>T202520172</t>
  </si>
  <si>
    <t>2025-10-16 - Fabiano Lisboa Ignacio - T202520176.pdf</t>
  </si>
  <si>
    <t>Fabiano Lisboa Ignacio</t>
  </si>
  <si>
    <t>T202520176</t>
  </si>
  <si>
    <t>2025-10-16 - Gabriel Brito de Almeida - T202520171.pdf</t>
  </si>
  <si>
    <t>Gabriel Brito de Almeida</t>
  </si>
  <si>
    <t>T202520171</t>
  </si>
  <si>
    <t>2025-10-16 - Gabriel de Jesus da Silva - T202520183.pdf</t>
  </si>
  <si>
    <t>Gabriel de Jesus da Silva</t>
  </si>
  <si>
    <t>T202520183</t>
  </si>
  <si>
    <t>2025-10-16 - Gabriely Vieira Ignacio de Proenca Vianna - T202520151.pdf</t>
  </si>
  <si>
    <t>Gabriely Vieira Ignacio de Proença Vianna</t>
  </si>
  <si>
    <t>T202520151</t>
  </si>
  <si>
    <t>2025-10-16 - Giovana Nicolli dos Santos Silva - T202520161.pdf</t>
  </si>
  <si>
    <t>Giovana Nicolli dos Santos Silva</t>
  </si>
  <si>
    <t>T202520161</t>
  </si>
  <si>
    <t>2025-10-16 - Jhonatan de Paula Matos de Azevedo - T202520170.pdf</t>
  </si>
  <si>
    <t>Jhonatan de Paula Matos de Azevedo</t>
  </si>
  <si>
    <t>T202520170</t>
  </si>
  <si>
    <t>2025-10-16 - Joao Gabriel Pereira Rosa - T202520159.pdf</t>
  </si>
  <si>
    <t>João Gabriel Pereira Rosa</t>
  </si>
  <si>
    <t>T202520159</t>
  </si>
  <si>
    <t>2025-10-16 - Joao Vitor Braga da Conceicao - T202520168.pdf</t>
  </si>
  <si>
    <t>João Vitor Braga da Conceição</t>
  </si>
  <si>
    <t>T202520168</t>
  </si>
  <si>
    <t>2025-10-16 - Jose Pereira Leite Junior - T202520182.pdf</t>
  </si>
  <si>
    <t>José Pereira Leite Júnior</t>
  </si>
  <si>
    <t>T202520182</t>
  </si>
  <si>
    <t>2025-10-16 - Lucas da Silva Soutto - T202520057.pdf</t>
  </si>
  <si>
    <t>Lucas da Silva Soutto</t>
  </si>
  <si>
    <t>T202520057</t>
  </si>
  <si>
    <t>2025-10-16 - Luciene de Moura - T202520049.pdf</t>
  </si>
  <si>
    <t>Luciene de Moura</t>
  </si>
  <si>
    <t>T202520049</t>
  </si>
  <si>
    <t>2025-10-16 - Ludmila Fernanda da Silva - T202520167.pdf</t>
  </si>
  <si>
    <t>Ludmila Fernanda da Silva</t>
  </si>
  <si>
    <t>T202520167</t>
  </si>
  <si>
    <t>2025-10-16 - Maiara Carius Alves - T202520089.pdf</t>
  </si>
  <si>
    <t>Maiara Carius Alves</t>
  </si>
  <si>
    <t>T202520089</t>
  </si>
  <si>
    <t>2025-10-16 - Maria Luiza Silveira Alves - T202520173.pdf</t>
  </si>
  <si>
    <t>Maria Luiza Silveira Alves</t>
  </si>
  <si>
    <t>T202520173</t>
  </si>
  <si>
    <t>2025-10-16 - Marya Paula de Moura Brito - T202520052.pdf</t>
  </si>
  <si>
    <t>Marya Paula de Moura Brito</t>
  </si>
  <si>
    <t>T202520052</t>
  </si>
  <si>
    <t>2025-10-16 - Matheus Barbosa Silva - T202520121.pdf</t>
  </si>
  <si>
    <t>Matheus Barbosa Silva</t>
  </si>
  <si>
    <t>T202520121</t>
  </si>
  <si>
    <t>2025-10-16 - Natasha de Almeida Goncalves Bizerra - T202520146.pdf</t>
  </si>
  <si>
    <t>Natasha de Almeida Gonçalves Bizerra</t>
  </si>
  <si>
    <t>T202520146</t>
  </si>
  <si>
    <t>2025-10-16 - Rafaela Costa de Almeida - T202520070.pdf</t>
  </si>
  <si>
    <t>Rafaela Costa de Almeida</t>
  </si>
  <si>
    <t>T202520070</t>
  </si>
  <si>
    <t>2025-10-16 - Raquel Bezerra Pimenta da Silva - T202520147.pdf</t>
  </si>
  <si>
    <t>Raquel Bezerra Pimenta da Silva</t>
  </si>
  <si>
    <t>T202520147</t>
  </si>
  <si>
    <t>2025-10-16 - Raquel Costa de Souza Silva - T202520109.pdf</t>
  </si>
  <si>
    <t>Raquel Costa de Souza Silva</t>
  </si>
  <si>
    <t>T202520109</t>
  </si>
  <si>
    <t>2025-10-16 - Renata Silva do Vale - T202520180.pdf</t>
  </si>
  <si>
    <t>Renata Silva do Vale</t>
  </si>
  <si>
    <t>T202520180</t>
  </si>
  <si>
    <t>2025-10-16 - Ruan Felipe Oliveira de Bastos - T202520184.pdf</t>
  </si>
  <si>
    <t>Ruan Felipe Oliveira de Bastos</t>
  </si>
  <si>
    <t>T202520184</t>
  </si>
  <si>
    <t>2025-10-16 - Sophia Oza Rocha da Silva - T202520177.pdf</t>
  </si>
  <si>
    <t>Sophia Oza Rocha da Silva</t>
  </si>
  <si>
    <t>T202520177</t>
  </si>
  <si>
    <t>2025-10-16 - Theodoro Baltar Varao - T202520175.pdf</t>
  </si>
  <si>
    <t>Theodoro Baltar Varão</t>
  </si>
  <si>
    <t>T202520175</t>
  </si>
  <si>
    <t>2025-10-16 - Thiago Barbosa Silva - T202520107.pdf</t>
  </si>
  <si>
    <t>Thiago Barbosa Silva</t>
  </si>
  <si>
    <t>T202520107</t>
  </si>
  <si>
    <t>2025-10-16 - Yasmin de Araujo Bitencourt - T202520163.pdf</t>
  </si>
  <si>
    <t>Yasmin de Araujo Bitencourt</t>
  </si>
  <si>
    <t>T202520163</t>
  </si>
  <si>
    <t>2025-10-16 - Yuri Rodrigues - T202520181.pdf</t>
  </si>
  <si>
    <t>Yuri Rodrigues</t>
  </si>
  <si>
    <t>T202520181</t>
  </si>
  <si>
    <t>APROVADO?</t>
  </si>
  <si>
    <t>2025-10-20 - Ana Julia Martins Costa - T202520164.pdf</t>
  </si>
  <si>
    <t>2025-10-20 - Anna Julia Ventura da Conceicao - T202520160.pdf</t>
  </si>
  <si>
    <t>2025-10-20 - Antony Faria Lourenco Santana Silva - T202520166.pdf</t>
  </si>
  <si>
    <t>2025-10-20 - Arianne da Silva Oliveira - T202520158.pdf</t>
  </si>
  <si>
    <t>2025-10-20 - Arthur de Araujo Alverez Carvalho - T202520156.pdf</t>
  </si>
  <si>
    <t>2025-10-20 - Barbara Celestina Oza - T202520179.pdf</t>
  </si>
  <si>
    <t>2025-10-20 - Caio Mendonca Monsores - T202520157.pdf</t>
  </si>
  <si>
    <t>2025-10-20 - Daniel de Souza Araujo - T202520174.pdf</t>
  </si>
  <si>
    <t>2025-10-20 - Daniel Rocha Brito - T202520169.pdf</t>
  </si>
  <si>
    <t>2025-10-20 - Edson Lima Brasil Junior - T202520098.pdf</t>
  </si>
  <si>
    <t>2025-10-20 - Emmily Goulart Costa - T202520172.pdf</t>
  </si>
  <si>
    <t>2025-10-20 - Fabiano Lisboa Ignacio - T202520176.pdf</t>
  </si>
  <si>
    <t>2025-10-20 - Gabriel Brito de Almeida - T202520171.pdf</t>
  </si>
  <si>
    <t>2025-10-20 - Gabriel de Jesus da Silva - T202520183.pdf</t>
  </si>
  <si>
    <t>2025-10-20 - Gabriely Vieira Ignacio de Proenca Vianna - T202520151.pdf</t>
  </si>
  <si>
    <t>2025-10-20 - Giovana Nicolli dos Santos Silva - T202520161.pdf</t>
  </si>
  <si>
    <t>2025-10-20 - Jhonatan de Paula Matos de Azevedo - T202520170.pdf</t>
  </si>
  <si>
    <t>2025-10-20 - Joao Gabriel Pereira Rosa - T202520159.pdf</t>
  </si>
  <si>
    <t>2025-10-20 - Joao Vitor Braga da Conceicao - T202520168.pdf</t>
  </si>
  <si>
    <t>2025-10-20 - Jose Pereira Leite Junior - T202520182.pdf</t>
  </si>
  <si>
    <t>2025-10-20 - Lucas da Silva Soutto - T202520057.pdf</t>
  </si>
  <si>
    <t>2025-10-20 - Ludmila Fernanda da Silva - T202520167.pdf</t>
  </si>
  <si>
    <t>2025-10-20 - Maiara Carius Alves - T202520089.pdf</t>
  </si>
  <si>
    <t>2025-10-20 - Maria Luiza Silveira Alves - T202520173.pdf</t>
  </si>
  <si>
    <t>2025-10-20 - Matheus Barbosa Silva - T202520121.pdf</t>
  </si>
  <si>
    <t>2025-10-20 - Natasha de Almeida Goncalves Bizerra - T202520146.pdf</t>
  </si>
  <si>
    <t>2025-10-20 - Rafaela Costa de Almeida - T202520070.pdf</t>
  </si>
  <si>
    <t>2025-10-20 - Raquel Bezerra Pimenta da Silva - T202520147.pdf</t>
  </si>
  <si>
    <t>2025-10-20 - Raquel Costa de Souza Silva - T202520109.pdf</t>
  </si>
  <si>
    <t>2025-10-20 - Renata Silva do Vale - T202520180.pdf</t>
  </si>
  <si>
    <t>2025-10-20 - Ruan Felipe Oliveira de Bastos - T202520184.pdf</t>
  </si>
  <si>
    <t>2025-10-20 - Sophia Oza Rocha da Silva - T202520177.pdf</t>
  </si>
  <si>
    <t>2025-10-20 - Theodoro Baltar Varao - T202520175.pdf</t>
  </si>
  <si>
    <t>2025-10-20 - Thiago Barbosa Silva - T202520107.pdf</t>
  </si>
  <si>
    <t>2025-10-20 - Yasmin de Araujo Bitencourt - T202520163.pdf</t>
  </si>
  <si>
    <t>2025-10-20 - Yuri Rodrigues - T202520181.pdf</t>
  </si>
  <si>
    <t>2?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</si>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</sst>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" xr16:uid="{AB4A251D-1D75-44F4-819D-CED7CEBDB6AD}" autoFormatId="16" applyNumberFormats="0" applyBorderFormats="0" applyFontFormats="0" applyPatternFormats="0" applyAlignmentFormats="0" applyWidthHeightFormats="0">
  <queryTableRefresh nextId="14" unboundColumnsRight="2">
    <queryTableFields count="12">
      <queryTableField id="1" name="file" tableColumnId="1"/>
      <queryTableField id="2" name="name" tableColumnId="2"/>
      <queryTableField id="3" name="matricula" tableColumnId="3"/>
      <queryTableField id="4" name="P1" tableColumnId="4"/>
      <queryTableField id="5" name="L1" tableColumnId="5"/>
      <queryTableField id="12" dataBound="0" tableColumnId="14"/>
      <queryTableField id="6" name="L2" tableColumnId="6"/>
      <queryTableField id="8" name="A1" tableColumnId="8"/>
      <queryTableField id="9" name="A2" tableColumnId="9"/>
      <queryTableField id="10" name="Nota Final" tableColumnId="10"/>
      <queryTableField id="11" dataBound="0" tableColumnId="11"/>
      <queryTableField id="13" dataBound="0" tableColumnId="7"/>
    </queryTableFields>
    <queryTableDeletedFields count="1">
      <deletedField name="P2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1BC5262D-83D5-4EC4-9EAB-33EA3FFB7423}" autoFormatId="16" applyNumberFormats="0" applyBorderFormats="0" applyFontFormats="0" applyPatternFormats="0" applyAlignmentFormats="0" applyWidthHeightFormats="0">
  <queryTableRefresh nextId="14" unboundColumnsRight="2">
    <queryTableFields count="12">
      <queryTableField id="1" name="file" tableColumnId="1"/>
      <queryTableField id="2" name="name" tableColumnId="2"/>
      <queryTableField id="3" name="matricula" tableColumnId="3"/>
      <queryTableField id="4" name="P1" tableColumnId="4"/>
      <queryTableField id="5" name="L1" tableColumnId="5"/>
      <queryTableField id="12" dataBound="0" tableColumnId="13"/>
      <queryTableField id="6" name="L2" tableColumnId="6"/>
      <queryTableField id="8" name="A1" tableColumnId="8"/>
      <queryTableField id="9" name="A2" tableColumnId="9"/>
      <queryTableField id="10" name="Nota Final" tableColumnId="10"/>
      <queryTableField id="11" dataBound="0" tableColumnId="11"/>
      <queryTableField id="13" dataBound="0" tableColumnId="7"/>
    </queryTableFields>
    <queryTableDeletedFields count="1">
      <deletedField name="P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1EC7D5-4AB2-4F1B-BAD4-4961D295B8FA}" name="pav_nf" displayName="pav_nf" ref="A1:L39" tableType="queryTable" totalsRowShown="0">
  <autoFilter ref="A1:L39" xr:uid="{A61EC7D5-4AB2-4F1B-BAD4-4961D295B8FA}"/>
  <tableColumns count="12">
    <tableColumn id="1" xr3:uid="{C635BA5B-EE50-433F-8083-E62C990A6761}" uniqueName="1" name="file" queryTableFieldId="1" dataDxfId="22"/>
    <tableColumn id="2" xr3:uid="{93B29897-82FA-4CBB-8EB2-108700A37937}" uniqueName="2" name="name" queryTableFieldId="2" dataDxfId="21"/>
    <tableColumn id="3" xr3:uid="{6B212BBA-C6ED-425F-9C18-BA8ACDAD1F66}" uniqueName="3" name="matricula" queryTableFieldId="3" dataDxfId="20"/>
    <tableColumn id="4" xr3:uid="{41AB7610-2305-4469-9C97-DF89EB54E5E5}" uniqueName="4" name="P1" queryTableFieldId="4" dataDxfId="19"/>
    <tableColumn id="5" xr3:uid="{1FD9D139-0DF7-4E87-BBF5-D739BE2FE552}" uniqueName="5" name="L1" queryTableFieldId="5" dataDxfId="18"/>
    <tableColumn id="14" xr3:uid="{FCA08CEB-1B6F-4624-A5F9-41B880DCA492}" uniqueName="14" name="P2" queryTableFieldId="12" dataDxfId="17"/>
    <tableColumn id="6" xr3:uid="{06C5F794-E95C-424F-86A7-27D7F9D90C6B}" uniqueName="6" name="L2" queryTableFieldId="6" dataDxfId="16"/>
    <tableColumn id="8" xr3:uid="{75F78E91-E3A0-4072-8F3A-B1E0D5628694}" uniqueName="8" name="A1" queryTableFieldId="8" dataDxfId="15"/>
    <tableColumn id="9" xr3:uid="{1EE095FE-A507-44E3-81FD-78BD9609B070}" uniqueName="9" name="A2" queryTableFieldId="9" dataDxfId="14"/>
    <tableColumn id="10" xr3:uid="{3C65F479-2615-418E-9791-D40DBFBA19D7}" uniqueName="10" name="Nota Final" queryTableFieldId="10"/>
    <tableColumn id="11" xr3:uid="{78DA0F0A-C008-444D-B752-5F0F1DA7F4ED}" uniqueName="11" name="APROVADO?" queryTableFieldId="11">
      <calculatedColumnFormula>IF(pav_nf[[#This Row],[Nota Final]]&gt;60,"APROVADO","REPROVADO")</calculatedColumnFormula>
    </tableColumn>
    <tableColumn id="7" xr3:uid="{700C9062-982D-4E68-B70E-22AAD0B20792}" uniqueName="7" name="2?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D0E7B6-6DDF-465C-A9CB-D64CB106DA42}" name="pe_nf" displayName="pe_nf" ref="A1:L39" tableType="queryTable" totalsRowShown="0">
  <autoFilter ref="A1:L39" xr:uid="{F7D0E7B6-6DDF-465C-A9CB-D64CB106DA42}">
    <filterColumn colId="10">
      <filters>
        <filter val="REPROVADO"/>
      </filters>
    </filterColumn>
  </autoFilter>
  <tableColumns count="12">
    <tableColumn id="1" xr3:uid="{A5E44C46-B07E-4AAA-8245-D5B9072A5146}" uniqueName="1" name="file" queryTableFieldId="1" dataDxfId="13"/>
    <tableColumn id="2" xr3:uid="{65C6F7E2-E108-45C5-9018-4737890D2815}" uniqueName="2" name="name" queryTableFieldId="2" dataDxfId="12"/>
    <tableColumn id="3" xr3:uid="{32D0DAFC-D4E1-4855-A2FD-A8FBEC4D20A9}" uniqueName="3" name="matricula" queryTableFieldId="3" dataDxfId="11"/>
    <tableColumn id="4" xr3:uid="{671D68DB-FDF3-4397-8951-4A43E720397B}" uniqueName="4" name="P1" queryTableFieldId="4" dataDxfId="10"/>
    <tableColumn id="5" xr3:uid="{EC5067DA-3C2F-4BE9-B4AC-E807E1608E6B}" uniqueName="5" name="L1" queryTableFieldId="5" dataDxfId="9"/>
    <tableColumn id="13" xr3:uid="{DA8EADB5-A7D5-4B24-A617-199260B78E79}" uniqueName="13" name="P2" queryTableFieldId="12" dataDxfId="8"/>
    <tableColumn id="6" xr3:uid="{362A06DB-1C9B-4259-9FCF-07F0C0F4CA1C}" uniqueName="6" name="L2" queryTableFieldId="6" dataDxfId="7"/>
    <tableColumn id="8" xr3:uid="{3ACCBE59-DCCA-4380-9EE1-1CFA229ED592}" uniqueName="8" name="A1" queryTableFieldId="8" dataDxfId="6"/>
    <tableColumn id="9" xr3:uid="{401248CD-4515-439E-958F-F913F0AE6F60}" uniqueName="9" name="A2" queryTableFieldId="9" dataDxfId="5"/>
    <tableColumn id="10" xr3:uid="{C5238207-C3CF-484C-90F4-E0EAA6C70651}" uniqueName="10" name="Nota Final" queryTableFieldId="10" dataDxfId="4"/>
    <tableColumn id="11" xr3:uid="{D3E67992-66CC-44B9-8F90-0AFDA8F2497C}" uniqueName="11" name="APROVADO?" queryTableFieldId="11" dataDxfId="3">
      <calculatedColumnFormula>IF(pe_nf[[#This Row],[Nota Final]]&gt;60,"APROVADO","REPROVADO")</calculatedColumnFormula>
    </tableColumn>
    <tableColumn id="7" xr3:uid="{C786A4C2-41A4-42BA-8E82-C38A76058E46}" uniqueName="7" name="2?" queryTableFieldId="13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5F44B-17D5-4B77-BDAC-B9F661A3E390}">
  <dimension ref="A1:L39"/>
  <sheetViews>
    <sheetView tabSelected="1" workbookViewId="0">
      <selection activeCell="A4" sqref="A4:M4"/>
    </sheetView>
  </sheetViews>
  <sheetFormatPr defaultRowHeight="15" x14ac:dyDescent="0.25"/>
  <cols>
    <col min="1" max="1" width="65.7109375" bestFit="1" customWidth="1"/>
    <col min="2" max="2" width="38.85546875" bestFit="1" customWidth="1"/>
    <col min="3" max="3" width="11.7109375" bestFit="1" customWidth="1"/>
    <col min="4" max="8" width="6.5703125" bestFit="1" customWidth="1"/>
    <col min="9" max="9" width="12.5703125" bestFit="1" customWidth="1"/>
    <col min="10" max="11" width="14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  <c r="I1" t="s">
        <v>8</v>
      </c>
      <c r="J1" t="s">
        <v>9</v>
      </c>
      <c r="K1" t="s">
        <v>124</v>
      </c>
      <c r="L1" t="s">
        <v>161</v>
      </c>
    </row>
    <row r="2" spans="1:12" x14ac:dyDescent="0.25">
      <c r="A2" t="s">
        <v>125</v>
      </c>
      <c r="B2" t="s">
        <v>11</v>
      </c>
      <c r="C2" t="s">
        <v>12</v>
      </c>
      <c r="D2" s="1">
        <v>11</v>
      </c>
      <c r="E2" s="1">
        <v>0</v>
      </c>
      <c r="F2" s="1">
        <v>20.010000000000002</v>
      </c>
      <c r="G2" s="1">
        <v>16</v>
      </c>
      <c r="H2" s="1">
        <f>pav_nf[[#This Row],[L1]]+(pav_nf[[#This Row],[P1]]*5.33)</f>
        <v>58.63</v>
      </c>
      <c r="I2" s="1">
        <f>pav_nf[[#This Row],[P2]]+pav_nf[[#This Row],[L2]]</f>
        <v>36.010000000000005</v>
      </c>
      <c r="J2">
        <f>(pav_nf[[#This Row],[P1]]+pav_nf[[#This Row],[P2]]+pav_nf[[#This Row],[L1]]+pav_nf[[#This Row],[L2]]+IF(pav_nf[[#This Row],[2?]]="SIM",20,0))/2</f>
        <v>23.505000000000003</v>
      </c>
      <c r="K2" t="str">
        <f>IF(pav_nf[[#This Row],[Nota Final]]&gt;60,"APROVADO","REPROVADO")</f>
        <v>REPROVADO</v>
      </c>
    </row>
    <row r="3" spans="1:12" x14ac:dyDescent="0.25">
      <c r="A3" t="s">
        <v>126</v>
      </c>
      <c r="B3" t="s">
        <v>14</v>
      </c>
      <c r="C3" t="s">
        <v>15</v>
      </c>
      <c r="D3" s="1">
        <v>4</v>
      </c>
      <c r="E3" s="1">
        <v>18.66</v>
      </c>
      <c r="F3" s="1">
        <v>13.34</v>
      </c>
      <c r="G3" s="1">
        <v>15</v>
      </c>
      <c r="H3" s="1">
        <f>pav_nf[[#This Row],[L1]]+(pav_nf[[#This Row],[P1]]*5.33)</f>
        <v>39.980000000000004</v>
      </c>
      <c r="I3" s="1">
        <f>pav_nf[[#This Row],[P2]]+pav_nf[[#This Row],[L2]]</f>
        <v>28.34</v>
      </c>
      <c r="J3">
        <f>(pav_nf[[#This Row],[A1]]+pav_nf[[#This Row],[A2]]+IF(pav_nf[[#This Row],[2?]]="SIM",20,0))/2</f>
        <v>44.160000000000004</v>
      </c>
      <c r="K3" t="str">
        <f>IF(pav_nf[[#This Row],[Nota Final]]&gt;60,"APROVADO","REPROVADO")</f>
        <v>REPROVADO</v>
      </c>
      <c r="L3" t="s">
        <v>162</v>
      </c>
    </row>
    <row r="4" spans="1:12" x14ac:dyDescent="0.25">
      <c r="A4" t="s">
        <v>127</v>
      </c>
      <c r="B4" t="s">
        <v>17</v>
      </c>
      <c r="C4" t="s">
        <v>18</v>
      </c>
      <c r="D4" s="1">
        <v>13</v>
      </c>
      <c r="E4" s="1">
        <v>18.670000000000002</v>
      </c>
      <c r="F4" s="1">
        <v>26.67</v>
      </c>
      <c r="G4" s="1">
        <v>6</v>
      </c>
      <c r="H4" s="1">
        <f>pav_nf[[#This Row],[L1]]+(pav_nf[[#This Row],[P1]]*5.33)</f>
        <v>87.960000000000008</v>
      </c>
      <c r="I4" s="1">
        <f>pav_nf[[#This Row],[P2]]+pav_nf[[#This Row],[L2]]</f>
        <v>32.67</v>
      </c>
      <c r="J4">
        <f>(pav_nf[[#This Row],[A1]]+pav_nf[[#This Row],[A2]]+IF(pav_nf[[#This Row],[2?]]="SIM",20,0))/2</f>
        <v>60.315000000000005</v>
      </c>
      <c r="K4" t="str">
        <f>IF(pav_nf[[#This Row],[Nota Final]]&gt;60,"APROVADO","REPROVADO")</f>
        <v>APROVADO</v>
      </c>
    </row>
    <row r="5" spans="1:12" x14ac:dyDescent="0.25">
      <c r="A5" t="s">
        <v>128</v>
      </c>
      <c r="B5" t="s">
        <v>20</v>
      </c>
      <c r="C5" t="s">
        <v>21</v>
      </c>
      <c r="D5" s="1">
        <v>8</v>
      </c>
      <c r="E5" s="1">
        <v>18.66</v>
      </c>
      <c r="F5" s="1">
        <v>40</v>
      </c>
      <c r="G5" s="1">
        <v>13</v>
      </c>
      <c r="H5" s="1">
        <f>pav_nf[[#This Row],[L1]]+(pav_nf[[#This Row],[P1]]*5.33)</f>
        <v>61.3</v>
      </c>
      <c r="I5" s="1">
        <f>pav_nf[[#This Row],[P2]]+pav_nf[[#This Row],[L2]]</f>
        <v>53</v>
      </c>
      <c r="J5">
        <f>(pav_nf[[#This Row],[A1]]+pav_nf[[#This Row],[A2]]+IF(pav_nf[[#This Row],[2?]]="SIM",20,0))/2</f>
        <v>67.150000000000006</v>
      </c>
      <c r="K5" t="str">
        <f>IF(pav_nf[[#This Row],[Nota Final]]&gt;60,"APROVADO","REPROVADO")</f>
        <v>APROVADO</v>
      </c>
      <c r="L5" t="s">
        <v>162</v>
      </c>
    </row>
    <row r="6" spans="1:12" x14ac:dyDescent="0.25">
      <c r="A6" t="s">
        <v>129</v>
      </c>
      <c r="B6" t="s">
        <v>23</v>
      </c>
      <c r="C6" t="s">
        <v>24</v>
      </c>
      <c r="D6" s="1">
        <v>10</v>
      </c>
      <c r="E6" s="1">
        <v>0</v>
      </c>
      <c r="F6" s="1">
        <v>66.67</v>
      </c>
      <c r="G6" s="1">
        <v>8</v>
      </c>
      <c r="H6" s="1">
        <f>pav_nf[[#This Row],[L1]]+(pav_nf[[#This Row],[P1]]*5.33)</f>
        <v>53.3</v>
      </c>
      <c r="I6" s="1">
        <f>pav_nf[[#This Row],[P2]]+pav_nf[[#This Row],[L2]]</f>
        <v>74.67</v>
      </c>
      <c r="J6">
        <f>(pav_nf[[#This Row],[A1]]+pav_nf[[#This Row],[A2]]+IF(pav_nf[[#This Row],[2?]]="SIM",20,0))/2</f>
        <v>63.984999999999999</v>
      </c>
      <c r="K6" t="str">
        <f>IF(pav_nf[[#This Row],[Nota Final]]&gt;60,"APROVADO","REPROVADO")</f>
        <v>APROVADO</v>
      </c>
    </row>
    <row r="7" spans="1:12" x14ac:dyDescent="0.25">
      <c r="A7" t="s">
        <v>130</v>
      </c>
      <c r="B7" t="s">
        <v>26</v>
      </c>
      <c r="C7" t="s">
        <v>27</v>
      </c>
      <c r="D7" s="1">
        <v>9</v>
      </c>
      <c r="E7" s="1">
        <v>16</v>
      </c>
      <c r="F7" s="1">
        <v>0</v>
      </c>
      <c r="G7" s="1">
        <v>0</v>
      </c>
      <c r="H7" s="1">
        <f>pav_nf[[#This Row],[L1]]+(pav_nf[[#This Row],[P1]]*5.33)</f>
        <v>63.97</v>
      </c>
      <c r="I7" s="1">
        <f>pav_nf[[#This Row],[P2]]+pav_nf[[#This Row],[L2]]</f>
        <v>0</v>
      </c>
      <c r="J7">
        <f>(pav_nf[[#This Row],[A1]]+pav_nf[[#This Row],[A2]]+IF(pav_nf[[#This Row],[2?]]="SIM",20,0))/2</f>
        <v>31.984999999999999</v>
      </c>
      <c r="K7" t="str">
        <f>IF(pav_nf[[#This Row],[Nota Final]]&gt;60,"APROVADO","REPROVADO")</f>
        <v>REPROVADO</v>
      </c>
    </row>
    <row r="8" spans="1:12" x14ac:dyDescent="0.25">
      <c r="A8" t="s">
        <v>131</v>
      </c>
      <c r="B8" t="s">
        <v>29</v>
      </c>
      <c r="C8" t="s">
        <v>30</v>
      </c>
      <c r="D8" s="1">
        <v>9</v>
      </c>
      <c r="E8" s="1">
        <v>0</v>
      </c>
      <c r="F8" s="1">
        <v>40.01</v>
      </c>
      <c r="G8" s="1">
        <v>8</v>
      </c>
      <c r="H8" s="1">
        <f>pav_nf[[#This Row],[L1]]+(pav_nf[[#This Row],[P1]]*5.33)</f>
        <v>47.97</v>
      </c>
      <c r="I8" s="1">
        <f>pav_nf[[#This Row],[P2]]+pav_nf[[#This Row],[L2]]</f>
        <v>48.01</v>
      </c>
      <c r="J8">
        <f>(pav_nf[[#This Row],[A1]]+pav_nf[[#This Row],[A2]]+IF(pav_nf[[#This Row],[2?]]="SIM",20,0))/2</f>
        <v>47.989999999999995</v>
      </c>
      <c r="K8" t="str">
        <f>IF(pav_nf[[#This Row],[Nota Final]]&gt;60,"APROVADO","REPROVADO")</f>
        <v>REPROVADO</v>
      </c>
    </row>
    <row r="9" spans="1:12" x14ac:dyDescent="0.25">
      <c r="A9" t="s">
        <v>132</v>
      </c>
      <c r="B9" t="s">
        <v>32</v>
      </c>
      <c r="C9" t="s">
        <v>33</v>
      </c>
      <c r="D9" s="1">
        <v>9</v>
      </c>
      <c r="E9" s="1">
        <v>20</v>
      </c>
      <c r="F9" s="1">
        <v>60</v>
      </c>
      <c r="G9" s="1">
        <v>6</v>
      </c>
      <c r="H9" s="1">
        <f>pav_nf[[#This Row],[L1]]+(pav_nf[[#This Row],[P1]]*5.33)</f>
        <v>67.97</v>
      </c>
      <c r="I9" s="1">
        <f>pav_nf[[#This Row],[P2]]+pav_nf[[#This Row],[L2]]</f>
        <v>66</v>
      </c>
      <c r="J9">
        <f>(pav_nf[[#This Row],[A1]]+pav_nf[[#This Row],[A2]]+IF(pav_nf[[#This Row],[2?]]="SIM",20,0))/2</f>
        <v>66.984999999999999</v>
      </c>
      <c r="K9" t="str">
        <f>IF(pav_nf[[#This Row],[Nota Final]]&gt;60,"APROVADO","REPROVADO")</f>
        <v>APROVADO</v>
      </c>
    </row>
    <row r="10" spans="1:12" x14ac:dyDescent="0.25">
      <c r="A10" t="s">
        <v>133</v>
      </c>
      <c r="B10" t="s">
        <v>35</v>
      </c>
      <c r="C10" t="s">
        <v>36</v>
      </c>
      <c r="D10" s="1">
        <v>11</v>
      </c>
      <c r="E10" s="1">
        <v>20</v>
      </c>
      <c r="F10" s="1">
        <v>53.33</v>
      </c>
      <c r="G10" s="1">
        <v>6</v>
      </c>
      <c r="H10" s="1">
        <f>pav_nf[[#This Row],[L1]]+(pav_nf[[#This Row],[P1]]*5.33)</f>
        <v>78.63</v>
      </c>
      <c r="I10" s="1">
        <f>pav_nf[[#This Row],[P2]]+pav_nf[[#This Row],[L2]]</f>
        <v>59.33</v>
      </c>
      <c r="J10">
        <f>(pav_nf[[#This Row],[A1]]+pav_nf[[#This Row],[A2]]+IF(pav_nf[[#This Row],[2?]]="SIM",20,0))/2</f>
        <v>68.97999999999999</v>
      </c>
      <c r="K10" t="str">
        <f>IF(pav_nf[[#This Row],[Nota Final]]&gt;60,"APROVADO","REPROVADO")</f>
        <v>APROVADO</v>
      </c>
    </row>
    <row r="11" spans="1:12" x14ac:dyDescent="0.25">
      <c r="A11" t="s">
        <v>134</v>
      </c>
      <c r="B11" t="s">
        <v>38</v>
      </c>
      <c r="C11" t="s">
        <v>39</v>
      </c>
      <c r="D11" s="1">
        <v>10</v>
      </c>
      <c r="E11" s="1">
        <v>18.670000000000002</v>
      </c>
      <c r="F11" s="1">
        <v>53.33</v>
      </c>
      <c r="G11" s="1">
        <v>7</v>
      </c>
      <c r="H11" s="1">
        <f>pav_nf[[#This Row],[L1]]+(pav_nf[[#This Row],[P1]]*5.33)</f>
        <v>71.97</v>
      </c>
      <c r="I11" s="1">
        <f>pav_nf[[#This Row],[P2]]+pav_nf[[#This Row],[L2]]</f>
        <v>60.33</v>
      </c>
      <c r="J11">
        <f>(pav_nf[[#This Row],[A1]]+pav_nf[[#This Row],[A2]]+IF(pav_nf[[#This Row],[2?]]="SIM",20,0))/2</f>
        <v>66.150000000000006</v>
      </c>
      <c r="K11" t="str">
        <f>IF(pav_nf[[#This Row],[Nota Final]]&gt;60,"APROVADO","REPROVADO")</f>
        <v>APROVADO</v>
      </c>
    </row>
    <row r="12" spans="1:12" x14ac:dyDescent="0.25">
      <c r="A12" t="s">
        <v>135</v>
      </c>
      <c r="B12" t="s">
        <v>41</v>
      </c>
      <c r="C12" t="s">
        <v>42</v>
      </c>
      <c r="D12" s="1">
        <v>4</v>
      </c>
      <c r="E12" s="1">
        <v>20</v>
      </c>
      <c r="F12" s="1">
        <v>40.020000000000003</v>
      </c>
      <c r="G12" s="1">
        <v>13</v>
      </c>
      <c r="H12" s="1">
        <f>pav_nf[[#This Row],[L1]]+(pav_nf[[#This Row],[P1]]*5.33)</f>
        <v>41.32</v>
      </c>
      <c r="I12" s="1">
        <f>pav_nf[[#This Row],[P2]]+pav_nf[[#This Row],[L2]]</f>
        <v>53.02</v>
      </c>
      <c r="J12">
        <f>(pav_nf[[#This Row],[A1]]+pav_nf[[#This Row],[A2]]+IF(pav_nf[[#This Row],[2?]]="SIM",20,0))/2</f>
        <v>47.17</v>
      </c>
      <c r="K12" t="str">
        <f>IF(pav_nf[[#This Row],[Nota Final]]&gt;60,"APROVADO","REPROVADO")</f>
        <v>REPROVADO</v>
      </c>
    </row>
    <row r="13" spans="1:12" x14ac:dyDescent="0.25">
      <c r="A13" t="s">
        <v>136</v>
      </c>
      <c r="B13" t="s">
        <v>44</v>
      </c>
      <c r="C13" t="s">
        <v>45</v>
      </c>
      <c r="D13" s="1">
        <v>10</v>
      </c>
      <c r="E13" s="1">
        <v>15.99</v>
      </c>
      <c r="F13" s="1">
        <v>33.340000000000003</v>
      </c>
      <c r="G13" s="1">
        <v>0</v>
      </c>
      <c r="H13" s="1">
        <f>pav_nf[[#This Row],[L1]]+(pav_nf[[#This Row],[P1]]*5.33)</f>
        <v>69.289999999999992</v>
      </c>
      <c r="I13" s="1">
        <f>pav_nf[[#This Row],[P2]]+pav_nf[[#This Row],[L2]]</f>
        <v>33.340000000000003</v>
      </c>
      <c r="J13">
        <f>(pav_nf[[#This Row],[A1]]+pav_nf[[#This Row],[A2]]+IF(pav_nf[[#This Row],[2?]]="SIM",20,0))/2</f>
        <v>51.314999999999998</v>
      </c>
      <c r="K13" t="str">
        <f>IF(pav_nf[[#This Row],[Nota Final]]&gt;60,"APROVADO","REPROVADO")</f>
        <v>REPROVADO</v>
      </c>
    </row>
    <row r="14" spans="1:12" x14ac:dyDescent="0.25">
      <c r="A14" t="s">
        <v>137</v>
      </c>
      <c r="B14" t="s">
        <v>47</v>
      </c>
      <c r="C14" t="s">
        <v>48</v>
      </c>
      <c r="D14" s="1">
        <v>12</v>
      </c>
      <c r="E14" s="1">
        <v>17.329999999999998</v>
      </c>
      <c r="F14" s="1">
        <v>66.67</v>
      </c>
      <c r="G14" s="1">
        <v>0</v>
      </c>
      <c r="H14" s="1">
        <f>pav_nf[[#This Row],[L1]]+(pav_nf[[#This Row],[P1]]*5.33)</f>
        <v>81.289999999999992</v>
      </c>
      <c r="I14" s="1">
        <f>pav_nf[[#This Row],[P2]]+pav_nf[[#This Row],[L2]]</f>
        <v>66.67</v>
      </c>
      <c r="J14">
        <f>(pav_nf[[#This Row],[A1]]+pav_nf[[#This Row],[A2]]+IF(pav_nf[[#This Row],[2?]]="SIM",20,0))/2</f>
        <v>73.97999999999999</v>
      </c>
      <c r="K14" t="str">
        <f>IF(pav_nf[[#This Row],[Nota Final]]&gt;60,"APROVADO","REPROVADO")</f>
        <v>APROVADO</v>
      </c>
    </row>
    <row r="15" spans="1:12" x14ac:dyDescent="0.25">
      <c r="A15" t="s">
        <v>138</v>
      </c>
      <c r="B15" t="s">
        <v>50</v>
      </c>
      <c r="C15" t="s">
        <v>51</v>
      </c>
      <c r="D15" s="1">
        <v>8</v>
      </c>
      <c r="E15" s="1">
        <v>20</v>
      </c>
      <c r="F15" s="1">
        <v>0</v>
      </c>
      <c r="G15" s="1">
        <v>0</v>
      </c>
      <c r="H15" s="1">
        <f>pav_nf[[#This Row],[L1]]+(pav_nf[[#This Row],[P1]]*5.33)</f>
        <v>62.64</v>
      </c>
      <c r="I15" s="1">
        <f>pav_nf[[#This Row],[P2]]+pav_nf[[#This Row],[L2]]</f>
        <v>0</v>
      </c>
      <c r="J15">
        <f>(pav_nf[[#This Row],[A1]]+pav_nf[[#This Row],[A2]]+IF(pav_nf[[#This Row],[2?]]="SIM",20,0))/2</f>
        <v>31.32</v>
      </c>
      <c r="K15" t="str">
        <f>IF(pav_nf[[#This Row],[Nota Final]]&gt;60,"APROVADO","REPROVADO")</f>
        <v>REPROVADO</v>
      </c>
    </row>
    <row r="16" spans="1:12" x14ac:dyDescent="0.25">
      <c r="A16" t="s">
        <v>139</v>
      </c>
      <c r="B16" t="s">
        <v>53</v>
      </c>
      <c r="C16" t="s">
        <v>54</v>
      </c>
      <c r="D16" s="1">
        <v>6</v>
      </c>
      <c r="E16" s="1">
        <v>12.01</v>
      </c>
      <c r="F16" s="1">
        <v>20</v>
      </c>
      <c r="G16" s="1">
        <v>17</v>
      </c>
      <c r="H16" s="1">
        <f>pav_nf[[#This Row],[L1]]+(pav_nf[[#This Row],[P1]]*5.33)</f>
        <v>43.99</v>
      </c>
      <c r="I16" s="1">
        <f>pav_nf[[#This Row],[P2]]+pav_nf[[#This Row],[L2]]</f>
        <v>37</v>
      </c>
      <c r="J16">
        <f>(pav_nf[[#This Row],[A1]]+pav_nf[[#This Row],[A2]]+IF(pav_nf[[#This Row],[2?]]="SIM",20,0))/2</f>
        <v>40.495000000000005</v>
      </c>
      <c r="K16" t="str">
        <f>IF(pav_nf[[#This Row],[Nota Final]]&gt;60,"APROVADO","REPROVADO")</f>
        <v>REPROVADO</v>
      </c>
    </row>
    <row r="17" spans="1:12" x14ac:dyDescent="0.25">
      <c r="A17" t="s">
        <v>140</v>
      </c>
      <c r="B17" t="s">
        <v>56</v>
      </c>
      <c r="C17" t="s">
        <v>57</v>
      </c>
      <c r="D17" s="1">
        <v>11</v>
      </c>
      <c r="E17" s="1">
        <v>17.32</v>
      </c>
      <c r="F17" s="1">
        <v>73.33</v>
      </c>
      <c r="G17" s="1">
        <v>20</v>
      </c>
      <c r="H17" s="1">
        <f>pav_nf[[#This Row],[L1]]+(pav_nf[[#This Row],[P1]]*5.33)</f>
        <v>75.95</v>
      </c>
      <c r="I17" s="1">
        <f>pav_nf[[#This Row],[P2]]+pav_nf[[#This Row],[L2]]</f>
        <v>93.33</v>
      </c>
      <c r="J17">
        <f>(pav_nf[[#This Row],[A1]]+pav_nf[[#This Row],[A2]]+IF(pav_nf[[#This Row],[2?]]="SIM",20,0))/2</f>
        <v>84.64</v>
      </c>
      <c r="K17" t="str">
        <f>IF(pav_nf[[#This Row],[Nota Final]]&gt;60,"APROVADO","REPROVADO")</f>
        <v>APROVADO</v>
      </c>
    </row>
    <row r="18" spans="1:12" x14ac:dyDescent="0.25">
      <c r="A18" t="s">
        <v>141</v>
      </c>
      <c r="B18" t="s">
        <v>59</v>
      </c>
      <c r="C18" t="s">
        <v>60</v>
      </c>
      <c r="D18" s="1">
        <v>10</v>
      </c>
      <c r="E18" s="1">
        <v>20</v>
      </c>
      <c r="F18" s="1">
        <v>60.01</v>
      </c>
      <c r="G18" s="1">
        <v>16</v>
      </c>
      <c r="H18" s="1">
        <f>pav_nf[[#This Row],[L1]]+(pav_nf[[#This Row],[P1]]*5.33)</f>
        <v>73.3</v>
      </c>
      <c r="I18" s="1">
        <f>pav_nf[[#This Row],[P2]]+pav_nf[[#This Row],[L2]]</f>
        <v>76.009999999999991</v>
      </c>
      <c r="J18">
        <f>(pav_nf[[#This Row],[A1]]+pav_nf[[#This Row],[A2]]+IF(pav_nf[[#This Row],[2?]]="SIM",20,0))/2</f>
        <v>74.655000000000001</v>
      </c>
      <c r="K18" t="str">
        <f>IF(pav_nf[[#This Row],[Nota Final]]&gt;60,"APROVADO","REPROVADO")</f>
        <v>APROVADO</v>
      </c>
    </row>
    <row r="19" spans="1:12" x14ac:dyDescent="0.25">
      <c r="A19" t="s">
        <v>142</v>
      </c>
      <c r="B19" t="s">
        <v>62</v>
      </c>
      <c r="C19" t="s">
        <v>63</v>
      </c>
      <c r="D19" s="1">
        <v>9</v>
      </c>
      <c r="E19" s="1">
        <v>20</v>
      </c>
      <c r="F19" s="1">
        <v>66.67</v>
      </c>
      <c r="G19" s="1">
        <v>20</v>
      </c>
      <c r="H19" s="1">
        <f>pav_nf[[#This Row],[L1]]+(pav_nf[[#This Row],[P1]]*5.33)</f>
        <v>67.97</v>
      </c>
      <c r="I19" s="1">
        <f>pav_nf[[#This Row],[P2]]+pav_nf[[#This Row],[L2]]</f>
        <v>86.67</v>
      </c>
      <c r="J19">
        <f>(pav_nf[[#This Row],[A1]]+pav_nf[[#This Row],[A2]]+IF(pav_nf[[#This Row],[2?]]="SIM",20,0))/2</f>
        <v>77.319999999999993</v>
      </c>
      <c r="K19" t="str">
        <f>IF(pav_nf[[#This Row],[Nota Final]]&gt;60,"APROVADO","REPROVADO")</f>
        <v>APROVADO</v>
      </c>
    </row>
    <row r="20" spans="1:12" x14ac:dyDescent="0.25">
      <c r="A20" t="s">
        <v>143</v>
      </c>
      <c r="B20" t="s">
        <v>65</v>
      </c>
      <c r="C20" t="s">
        <v>66</v>
      </c>
      <c r="D20" s="1">
        <v>11</v>
      </c>
      <c r="E20" s="1">
        <v>20</v>
      </c>
      <c r="F20" s="1">
        <v>60</v>
      </c>
      <c r="G20" s="1">
        <v>20</v>
      </c>
      <c r="H20" s="1">
        <f>pav_nf[[#This Row],[L1]]+(pav_nf[[#This Row],[P1]]*5.33)</f>
        <v>78.63</v>
      </c>
      <c r="I20" s="1">
        <f>pav_nf[[#This Row],[P2]]+pav_nf[[#This Row],[L2]]</f>
        <v>80</v>
      </c>
      <c r="J20">
        <f>(pav_nf[[#This Row],[A1]]+pav_nf[[#This Row],[A2]]+IF(pav_nf[[#This Row],[2?]]="SIM",20,0))/2</f>
        <v>89.314999999999998</v>
      </c>
      <c r="K20" t="str">
        <f>IF(pav_nf[[#This Row],[Nota Final]]&gt;60,"APROVADO","REPROVADO")</f>
        <v>APROVADO</v>
      </c>
      <c r="L20" t="s">
        <v>162</v>
      </c>
    </row>
    <row r="21" spans="1:12" x14ac:dyDescent="0.25">
      <c r="A21" t="s">
        <v>144</v>
      </c>
      <c r="B21" t="s">
        <v>68</v>
      </c>
      <c r="C21" t="s">
        <v>69</v>
      </c>
      <c r="D21" s="1">
        <v>11</v>
      </c>
      <c r="E21" s="1">
        <v>20</v>
      </c>
      <c r="F21" s="1">
        <v>0</v>
      </c>
      <c r="G21" s="1">
        <v>0</v>
      </c>
      <c r="H21" s="1">
        <f>pav_nf[[#This Row],[L1]]+(pav_nf[[#This Row],[P1]]*5.33)</f>
        <v>78.63</v>
      </c>
      <c r="I21" s="1">
        <f>pav_nf[[#This Row],[P2]]+pav_nf[[#This Row],[L2]]</f>
        <v>0</v>
      </c>
      <c r="J21">
        <f>(pav_nf[[#This Row],[A1]]+pav_nf[[#This Row],[A2]]+IF(pav_nf[[#This Row],[2?]]="SIM",20,0))/2</f>
        <v>39.314999999999998</v>
      </c>
      <c r="K21" t="str">
        <f>IF(pav_nf[[#This Row],[Nota Final]]&gt;60,"APROVADO","REPROVADO")</f>
        <v>REPROVADO</v>
      </c>
    </row>
    <row r="22" spans="1:12" x14ac:dyDescent="0.25">
      <c r="A22" t="s">
        <v>145</v>
      </c>
      <c r="B22" t="s">
        <v>71</v>
      </c>
      <c r="C22" t="s">
        <v>72</v>
      </c>
      <c r="D22" s="1">
        <v>12</v>
      </c>
      <c r="E22" s="1">
        <v>16.010000000000002</v>
      </c>
      <c r="F22" s="1">
        <v>73.33</v>
      </c>
      <c r="G22" s="1">
        <v>20</v>
      </c>
      <c r="H22" s="1">
        <f>pav_nf[[#This Row],[L1]]+(pav_nf[[#This Row],[P1]]*5.33)</f>
        <v>79.97</v>
      </c>
      <c r="I22" s="1">
        <f>pav_nf[[#This Row],[P2]]+pav_nf[[#This Row],[L2]]</f>
        <v>93.33</v>
      </c>
      <c r="J22">
        <f>(pav_nf[[#This Row],[A1]]+pav_nf[[#This Row],[A2]]+IF(pav_nf[[#This Row],[2?]]="SIM",20,0))/2</f>
        <v>86.65</v>
      </c>
      <c r="K22" t="str">
        <f>IF(pav_nf[[#This Row],[Nota Final]]&gt;60,"APROVADO","REPROVADO")</f>
        <v>APROVADO</v>
      </c>
    </row>
    <row r="23" spans="1:12" x14ac:dyDescent="0.25">
      <c r="A23" t="s">
        <v>73</v>
      </c>
      <c r="B23" t="s">
        <v>74</v>
      </c>
      <c r="C23" t="s">
        <v>75</v>
      </c>
      <c r="D23" s="1">
        <v>12</v>
      </c>
      <c r="E23" s="1">
        <v>18.66</v>
      </c>
      <c r="F23" s="1">
        <v>46.66</v>
      </c>
      <c r="G23" s="1">
        <v>17</v>
      </c>
      <c r="H23" s="1">
        <f>pav_nf[[#This Row],[L1]]+(pav_nf[[#This Row],[P1]]*5.33)</f>
        <v>82.62</v>
      </c>
      <c r="I23" s="1">
        <f>pav_nf[[#This Row],[P2]]+pav_nf[[#This Row],[L2]]</f>
        <v>63.66</v>
      </c>
      <c r="J23">
        <f>(pav_nf[[#This Row],[A1]]+pav_nf[[#This Row],[A2]]+IF(pav_nf[[#This Row],[2?]]="SIM",20,0))/2</f>
        <v>73.14</v>
      </c>
      <c r="K23" t="str">
        <f>IF(pav_nf[[#This Row],[Nota Final]]&gt;60,"APROVADO","REPROVADO")</f>
        <v>APROVADO</v>
      </c>
    </row>
    <row r="24" spans="1:12" x14ac:dyDescent="0.25">
      <c r="A24" t="s">
        <v>146</v>
      </c>
      <c r="B24" t="s">
        <v>77</v>
      </c>
      <c r="C24" t="s">
        <v>78</v>
      </c>
      <c r="D24" s="1">
        <v>4</v>
      </c>
      <c r="E24" s="1">
        <v>20</v>
      </c>
      <c r="F24" s="1">
        <v>33.32</v>
      </c>
      <c r="G24" s="1">
        <v>16</v>
      </c>
      <c r="H24" s="1">
        <f>pav_nf[[#This Row],[L1]]+(pav_nf[[#This Row],[P1]]*5.33)</f>
        <v>41.32</v>
      </c>
      <c r="I24" s="1">
        <f>pav_nf[[#This Row],[P2]]+pav_nf[[#This Row],[L2]]</f>
        <v>49.32</v>
      </c>
      <c r="J24">
        <f>(pav_nf[[#This Row],[A1]]+pav_nf[[#This Row],[A2]]+IF(pav_nf[[#This Row],[2?]]="SIM",20,0))/2</f>
        <v>45.32</v>
      </c>
      <c r="K24" t="str">
        <f>IF(pav_nf[[#This Row],[Nota Final]]&gt;60,"APROVADO","REPROVADO")</f>
        <v>REPROVADO</v>
      </c>
    </row>
    <row r="25" spans="1:12" x14ac:dyDescent="0.25">
      <c r="A25" t="s">
        <v>147</v>
      </c>
      <c r="B25" t="s">
        <v>80</v>
      </c>
      <c r="C25" t="s">
        <v>81</v>
      </c>
      <c r="D25" s="1">
        <v>10</v>
      </c>
      <c r="E25" s="1">
        <v>15.99</v>
      </c>
      <c r="F25" s="1">
        <v>40</v>
      </c>
      <c r="G25" s="1">
        <v>18</v>
      </c>
      <c r="H25" s="1">
        <f>pav_nf[[#This Row],[L1]]+(pav_nf[[#This Row],[P1]]*5.33)</f>
        <v>69.289999999999992</v>
      </c>
      <c r="I25" s="1">
        <f>pav_nf[[#This Row],[P2]]+pav_nf[[#This Row],[L2]]</f>
        <v>58</v>
      </c>
      <c r="J25">
        <f>(pav_nf[[#This Row],[A1]]+pav_nf[[#This Row],[A2]]+IF(pav_nf[[#This Row],[2?]]="SIM",20,0))/2</f>
        <v>73.644999999999996</v>
      </c>
      <c r="K25" t="str">
        <f>IF(pav_nf[[#This Row],[Nota Final]]&gt;60,"APROVADO","REPROVADO")</f>
        <v>APROVADO</v>
      </c>
      <c r="L25" t="s">
        <v>162</v>
      </c>
    </row>
    <row r="26" spans="1:12" x14ac:dyDescent="0.25">
      <c r="A26" t="s">
        <v>148</v>
      </c>
      <c r="B26" t="s">
        <v>83</v>
      </c>
      <c r="C26" t="s">
        <v>84</v>
      </c>
      <c r="D26" s="1">
        <v>9</v>
      </c>
      <c r="E26" s="1">
        <v>17.34</v>
      </c>
      <c r="F26" s="1">
        <v>53.33</v>
      </c>
      <c r="G26" s="1">
        <v>11</v>
      </c>
      <c r="H26" s="1">
        <f>pav_nf[[#This Row],[L1]]+(pav_nf[[#This Row],[P1]]*5.33)</f>
        <v>65.31</v>
      </c>
      <c r="I26" s="1">
        <f>pav_nf[[#This Row],[P2]]+pav_nf[[#This Row],[L2]]</f>
        <v>64.33</v>
      </c>
      <c r="J26">
        <f>(pav_nf[[#This Row],[A1]]+pav_nf[[#This Row],[A2]]+IF(pav_nf[[#This Row],[2?]]="SIM",20,0))/2</f>
        <v>64.819999999999993</v>
      </c>
      <c r="K26" t="str">
        <f>IF(pav_nf[[#This Row],[Nota Final]]&gt;60,"APROVADO","REPROVADO")</f>
        <v>APROVADO</v>
      </c>
    </row>
    <row r="27" spans="1:12" x14ac:dyDescent="0.25">
      <c r="A27" t="s">
        <v>85</v>
      </c>
      <c r="B27" t="s">
        <v>86</v>
      </c>
      <c r="C27" t="s">
        <v>87</v>
      </c>
      <c r="D27" s="1">
        <v>13</v>
      </c>
      <c r="E27" s="1">
        <v>18.66</v>
      </c>
      <c r="F27" s="1">
        <v>53.34</v>
      </c>
      <c r="G27" s="1">
        <v>17</v>
      </c>
      <c r="H27" s="1">
        <f>pav_nf[[#This Row],[L1]]+(pav_nf[[#This Row],[P1]]*5.33)</f>
        <v>87.95</v>
      </c>
      <c r="I27" s="1">
        <f>pav_nf[[#This Row],[P2]]+pav_nf[[#This Row],[L2]]</f>
        <v>70.34</v>
      </c>
      <c r="J27">
        <f>(pav_nf[[#This Row],[A1]]+pav_nf[[#This Row],[A2]]+IF(pav_nf[[#This Row],[2?]]="SIM",20,0))/2</f>
        <v>79.14500000000001</v>
      </c>
      <c r="K27" t="str">
        <f>IF(pav_nf[[#This Row],[Nota Final]]&gt;60,"APROVADO","REPROVADO")</f>
        <v>APROVADO</v>
      </c>
    </row>
    <row r="28" spans="1:12" x14ac:dyDescent="0.25">
      <c r="A28" t="s">
        <v>149</v>
      </c>
      <c r="B28" t="s">
        <v>89</v>
      </c>
      <c r="C28" t="s">
        <v>90</v>
      </c>
      <c r="D28" s="1">
        <v>12</v>
      </c>
      <c r="E28" s="1">
        <v>18.66</v>
      </c>
      <c r="F28" s="1">
        <v>66.680000000000007</v>
      </c>
      <c r="G28" s="1">
        <v>20</v>
      </c>
      <c r="H28" s="1">
        <f>pav_nf[[#This Row],[L1]]+(pav_nf[[#This Row],[P1]]*5.33)</f>
        <v>82.62</v>
      </c>
      <c r="I28" s="1">
        <f>pav_nf[[#This Row],[P2]]+pav_nf[[#This Row],[L2]]</f>
        <v>86.68</v>
      </c>
      <c r="J28">
        <f>(pav_nf[[#This Row],[A1]]+pav_nf[[#This Row],[A2]]+IF(pav_nf[[#This Row],[2?]]="SIM",20,0))/2</f>
        <v>94.65</v>
      </c>
      <c r="K28" t="str">
        <f>IF(pav_nf[[#This Row],[Nota Final]]&gt;60,"APROVADO","REPROVADO")</f>
        <v>APROVADO</v>
      </c>
      <c r="L28" t="s">
        <v>162</v>
      </c>
    </row>
    <row r="29" spans="1:12" x14ac:dyDescent="0.25">
      <c r="A29" t="s">
        <v>150</v>
      </c>
      <c r="B29" t="s">
        <v>92</v>
      </c>
      <c r="C29" t="s">
        <v>93</v>
      </c>
      <c r="D29" s="1">
        <v>2</v>
      </c>
      <c r="E29" s="1">
        <v>2.66</v>
      </c>
      <c r="F29" s="1">
        <v>13.34</v>
      </c>
      <c r="G29" s="1">
        <v>14</v>
      </c>
      <c r="H29" s="1">
        <f>pav_nf[[#This Row],[L1]]+(pav_nf[[#This Row],[P1]]*5.33)</f>
        <v>13.32</v>
      </c>
      <c r="I29" s="1">
        <f>pav_nf[[#This Row],[P2]]+pav_nf[[#This Row],[L2]]</f>
        <v>27.34</v>
      </c>
      <c r="J29">
        <f>(pav_nf[[#This Row],[A1]]+pav_nf[[#This Row],[A2]]+IF(pav_nf[[#This Row],[2?]]="SIM",20,0))/2</f>
        <v>20.329999999999998</v>
      </c>
      <c r="K29" t="str">
        <f>IF(pav_nf[[#This Row],[Nota Final]]&gt;60,"APROVADO","REPROVADO")</f>
        <v>REPROVADO</v>
      </c>
    </row>
    <row r="30" spans="1:12" x14ac:dyDescent="0.25">
      <c r="A30" t="s">
        <v>151</v>
      </c>
      <c r="B30" t="s">
        <v>95</v>
      </c>
      <c r="C30" t="s">
        <v>96</v>
      </c>
      <c r="D30" s="1">
        <v>12</v>
      </c>
      <c r="E30" s="1">
        <v>20</v>
      </c>
      <c r="F30" s="1">
        <v>73.34</v>
      </c>
      <c r="G30" s="1">
        <v>20</v>
      </c>
      <c r="H30" s="1">
        <f>pav_nf[[#This Row],[L1]]+(pav_nf[[#This Row],[P1]]*5.33)</f>
        <v>83.960000000000008</v>
      </c>
      <c r="I30" s="1">
        <f>pav_nf[[#This Row],[P2]]+pav_nf[[#This Row],[L2]]</f>
        <v>93.34</v>
      </c>
      <c r="J30">
        <f>(pav_nf[[#This Row],[A1]]+pav_nf[[#This Row],[A2]]+IF(pav_nf[[#This Row],[2?]]="SIM",20,0))/2</f>
        <v>98.65</v>
      </c>
      <c r="K30" t="str">
        <f>IF(pav_nf[[#This Row],[Nota Final]]&gt;60,"APROVADO","REPROVADO")</f>
        <v>APROVADO</v>
      </c>
      <c r="L30" t="s">
        <v>162</v>
      </c>
    </row>
    <row r="31" spans="1:12" x14ac:dyDescent="0.25">
      <c r="A31" t="s">
        <v>152</v>
      </c>
      <c r="B31" t="s">
        <v>98</v>
      </c>
      <c r="C31" t="s">
        <v>99</v>
      </c>
      <c r="D31" s="1">
        <v>11</v>
      </c>
      <c r="E31" s="1">
        <v>20</v>
      </c>
      <c r="F31" s="1">
        <v>66.66</v>
      </c>
      <c r="G31" s="1">
        <v>19</v>
      </c>
      <c r="H31" s="1">
        <f>pav_nf[[#This Row],[L1]]+(pav_nf[[#This Row],[P1]]*5.33)</f>
        <v>78.63</v>
      </c>
      <c r="I31" s="1">
        <f>pav_nf[[#This Row],[P2]]+pav_nf[[#This Row],[L2]]</f>
        <v>85.66</v>
      </c>
      <c r="J31">
        <f>(pav_nf[[#This Row],[A1]]+pav_nf[[#This Row],[A2]]+IF(pav_nf[[#This Row],[2?]]="SIM",20,0))/2</f>
        <v>92.144999999999996</v>
      </c>
      <c r="K31" t="str">
        <f>IF(pav_nf[[#This Row],[Nota Final]]&gt;60,"APROVADO","REPROVADO")</f>
        <v>APROVADO</v>
      </c>
      <c r="L31" t="s">
        <v>162</v>
      </c>
    </row>
    <row r="32" spans="1:12" x14ac:dyDescent="0.25">
      <c r="A32" t="s">
        <v>153</v>
      </c>
      <c r="B32" t="s">
        <v>101</v>
      </c>
      <c r="C32" t="s">
        <v>102</v>
      </c>
      <c r="D32" s="1">
        <v>11</v>
      </c>
      <c r="E32" s="1">
        <v>17.32</v>
      </c>
      <c r="F32" s="1">
        <v>73.33</v>
      </c>
      <c r="G32" s="1">
        <v>20</v>
      </c>
      <c r="H32" s="1">
        <f>pav_nf[[#This Row],[L1]]+(pav_nf[[#This Row],[P1]]*5.33)</f>
        <v>75.95</v>
      </c>
      <c r="I32" s="1">
        <f>pav_nf[[#This Row],[P2]]+pav_nf[[#This Row],[L2]]</f>
        <v>93.33</v>
      </c>
      <c r="J32">
        <f>(pav_nf[[#This Row],[A1]]+pav_nf[[#This Row],[A2]]+IF(pav_nf[[#This Row],[2?]]="SIM",20,0))/2</f>
        <v>84.64</v>
      </c>
      <c r="K32" t="str">
        <f>IF(pav_nf[[#This Row],[Nota Final]]&gt;60,"APROVADO","REPROVADO")</f>
        <v>APROVADO</v>
      </c>
    </row>
    <row r="33" spans="1:12" x14ac:dyDescent="0.25">
      <c r="A33" t="s">
        <v>154</v>
      </c>
      <c r="B33" t="s">
        <v>104</v>
      </c>
      <c r="C33" t="s">
        <v>105</v>
      </c>
      <c r="D33" s="1">
        <v>3</v>
      </c>
      <c r="E33" s="1">
        <v>13.33</v>
      </c>
      <c r="F33" s="1">
        <v>19.989999999999998</v>
      </c>
      <c r="G33" s="1">
        <v>20</v>
      </c>
      <c r="H33" s="1">
        <f>pav_nf[[#This Row],[L1]]+(pav_nf[[#This Row],[P1]]*5.33)</f>
        <v>29.32</v>
      </c>
      <c r="I33" s="1">
        <f>pav_nf[[#This Row],[P2]]+pav_nf[[#This Row],[L2]]</f>
        <v>39.989999999999995</v>
      </c>
      <c r="J33">
        <f>(pav_nf[[#This Row],[A1]]+pav_nf[[#This Row],[A2]]+IF(pav_nf[[#This Row],[2?]]="SIM",20,0))/2</f>
        <v>34.655000000000001</v>
      </c>
      <c r="K33" t="str">
        <f>IF(pav_nf[[#This Row],[Nota Final]]&gt;60,"APROVADO","REPROVADO")</f>
        <v>REPROVADO</v>
      </c>
    </row>
    <row r="34" spans="1:12" x14ac:dyDescent="0.25">
      <c r="A34" t="s">
        <v>155</v>
      </c>
      <c r="B34" t="s">
        <v>107</v>
      </c>
      <c r="C34" t="s">
        <v>108</v>
      </c>
      <c r="D34" s="1">
        <v>5</v>
      </c>
      <c r="E34" s="1">
        <v>20</v>
      </c>
      <c r="F34" s="1">
        <v>40</v>
      </c>
      <c r="G34" s="1">
        <v>12</v>
      </c>
      <c r="H34" s="1">
        <f>pav_nf[[#This Row],[L1]]+(pav_nf[[#This Row],[P1]]*5.33)</f>
        <v>46.65</v>
      </c>
      <c r="I34" s="1">
        <f>pav_nf[[#This Row],[P2]]+pav_nf[[#This Row],[L2]]</f>
        <v>52</v>
      </c>
      <c r="J34">
        <f>(pav_nf[[#This Row],[A1]]+pav_nf[[#This Row],[A2]]+IF(pav_nf[[#This Row],[2?]]="SIM",20,0))/2</f>
        <v>49.325000000000003</v>
      </c>
      <c r="K34" t="str">
        <f>IF(pav_nf[[#This Row],[Nota Final]]&gt;60,"APROVADO","REPROVADO")</f>
        <v>REPROVADO</v>
      </c>
    </row>
    <row r="35" spans="1:12" x14ac:dyDescent="0.25">
      <c r="A35" t="s">
        <v>156</v>
      </c>
      <c r="B35" t="s">
        <v>110</v>
      </c>
      <c r="C35" t="s">
        <v>111</v>
      </c>
      <c r="D35" s="1">
        <v>8</v>
      </c>
      <c r="E35" s="1">
        <v>14.67</v>
      </c>
      <c r="F35" s="1">
        <v>0</v>
      </c>
      <c r="G35" s="1">
        <v>0</v>
      </c>
      <c r="H35" s="1">
        <f>pav_nf[[#This Row],[L1]]+(pav_nf[[#This Row],[P1]]*5.33)</f>
        <v>57.31</v>
      </c>
      <c r="I35" s="1">
        <f>pav_nf[[#This Row],[P2]]+pav_nf[[#This Row],[L2]]</f>
        <v>0</v>
      </c>
      <c r="J35">
        <f>(pav_nf[[#This Row],[A1]]+pav_nf[[#This Row],[A2]]+IF(pav_nf[[#This Row],[2?]]="SIM",20,0))/2</f>
        <v>28.655000000000001</v>
      </c>
      <c r="K35" t="str">
        <f>IF(pav_nf[[#This Row],[Nota Final]]&gt;60,"APROVADO","REPROVADO")</f>
        <v>REPROVADO</v>
      </c>
    </row>
    <row r="36" spans="1:12" x14ac:dyDescent="0.25">
      <c r="A36" t="s">
        <v>157</v>
      </c>
      <c r="B36" t="s">
        <v>113</v>
      </c>
      <c r="C36" t="s">
        <v>114</v>
      </c>
      <c r="D36" s="1">
        <v>12</v>
      </c>
      <c r="E36" s="1">
        <v>15.99</v>
      </c>
      <c r="F36" s="1">
        <v>73.34</v>
      </c>
      <c r="G36" s="1">
        <v>17</v>
      </c>
      <c r="H36" s="1">
        <f>pav_nf[[#This Row],[L1]]+(pav_nf[[#This Row],[P1]]*5.33)</f>
        <v>79.95</v>
      </c>
      <c r="I36" s="1">
        <f>pav_nf[[#This Row],[P2]]+pav_nf[[#This Row],[L2]]</f>
        <v>90.34</v>
      </c>
      <c r="J36">
        <f>(pav_nf[[#This Row],[A1]]+pav_nf[[#This Row],[A2]]+IF(pav_nf[[#This Row],[2?]]="SIM",20,0))/2</f>
        <v>85.14500000000001</v>
      </c>
      <c r="K36" t="str">
        <f>IF(pav_nf[[#This Row],[Nota Final]]&gt;60,"APROVADO","REPROVADO")</f>
        <v>APROVADO</v>
      </c>
    </row>
    <row r="37" spans="1:12" x14ac:dyDescent="0.25">
      <c r="A37" t="s">
        <v>158</v>
      </c>
      <c r="B37" t="s">
        <v>116</v>
      </c>
      <c r="C37" t="s">
        <v>117</v>
      </c>
      <c r="D37" s="1">
        <v>11</v>
      </c>
      <c r="E37" s="1">
        <v>20</v>
      </c>
      <c r="F37" s="1">
        <v>66.66</v>
      </c>
      <c r="G37" s="1">
        <v>20</v>
      </c>
      <c r="H37" s="1">
        <f>pav_nf[[#This Row],[L1]]+(pav_nf[[#This Row],[P1]]*5.33)</f>
        <v>78.63</v>
      </c>
      <c r="I37" s="1">
        <f>pav_nf[[#This Row],[P2]]+pav_nf[[#This Row],[L2]]</f>
        <v>86.66</v>
      </c>
      <c r="J37">
        <f>(pav_nf[[#This Row],[A1]]+pav_nf[[#This Row],[A2]]+IF(pav_nf[[#This Row],[2?]]="SIM",20,0))/2</f>
        <v>92.644999999999996</v>
      </c>
      <c r="K37" t="str">
        <f>IF(pav_nf[[#This Row],[Nota Final]]&gt;60,"APROVADO","REPROVADO")</f>
        <v>APROVADO</v>
      </c>
      <c r="L37" t="s">
        <v>162</v>
      </c>
    </row>
    <row r="38" spans="1:12" x14ac:dyDescent="0.25">
      <c r="A38" t="s">
        <v>159</v>
      </c>
      <c r="B38" t="s">
        <v>119</v>
      </c>
      <c r="C38" t="s">
        <v>120</v>
      </c>
      <c r="D38" s="1">
        <v>9</v>
      </c>
      <c r="E38" s="1">
        <v>20</v>
      </c>
      <c r="F38" s="1">
        <v>66.67</v>
      </c>
      <c r="G38" s="1">
        <v>11</v>
      </c>
      <c r="H38" s="1">
        <f>pav_nf[[#This Row],[L1]]+(pav_nf[[#This Row],[P1]]*5.33)</f>
        <v>67.97</v>
      </c>
      <c r="I38" s="1">
        <f>pav_nf[[#This Row],[P2]]+pav_nf[[#This Row],[L2]]</f>
        <v>77.67</v>
      </c>
      <c r="J38">
        <f>(pav_nf[[#This Row],[A1]]+pav_nf[[#This Row],[A2]]+IF(pav_nf[[#This Row],[2?]]="SIM",20,0))/2</f>
        <v>82.82</v>
      </c>
      <c r="K38" t="str">
        <f>IF(pav_nf[[#This Row],[Nota Final]]&gt;60,"APROVADO","REPROVADO")</f>
        <v>APROVADO</v>
      </c>
      <c r="L38" t="s">
        <v>162</v>
      </c>
    </row>
    <row r="39" spans="1:12" x14ac:dyDescent="0.25">
      <c r="A39" t="s">
        <v>160</v>
      </c>
      <c r="B39" t="s">
        <v>122</v>
      </c>
      <c r="C39" t="s">
        <v>123</v>
      </c>
      <c r="D39" s="1">
        <v>7</v>
      </c>
      <c r="E39" s="1">
        <v>18.66</v>
      </c>
      <c r="F39" s="1">
        <v>13.34</v>
      </c>
      <c r="G39" s="1">
        <v>16</v>
      </c>
      <c r="H39" s="1">
        <f>pav_nf[[#This Row],[L1]]+(pav_nf[[#This Row],[P1]]*5.33)</f>
        <v>55.97</v>
      </c>
      <c r="I39" s="1">
        <f>pav_nf[[#This Row],[P2]]+pav_nf[[#This Row],[L2]]</f>
        <v>29.34</v>
      </c>
      <c r="J39">
        <f>(pav_nf[[#This Row],[A1]]+pav_nf[[#This Row],[A2]]+IF(pav_nf[[#This Row],[2?]]="SIM",20,0))/2</f>
        <v>42.655000000000001</v>
      </c>
      <c r="K39" t="str">
        <f>IF(pav_nf[[#This Row],[Nota Final]]&gt;60,"APROVADO","REPROVADO")</f>
        <v>REPROVADO</v>
      </c>
    </row>
  </sheetData>
  <phoneticPr fontId="18" type="noConversion"/>
  <conditionalFormatting sqref="K2:K39">
    <cfRule type="cellIs" dxfId="1" priority="1" operator="equal">
      <formula>"REPROVADO"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62EFF-7A02-4166-991E-BD092BCD397E}">
  <dimension ref="A1:L39"/>
  <sheetViews>
    <sheetView workbookViewId="0">
      <selection activeCell="B2" sqref="B2:C39"/>
    </sheetView>
  </sheetViews>
  <sheetFormatPr defaultRowHeight="15" x14ac:dyDescent="0.25"/>
  <cols>
    <col min="1" max="1" width="65.7109375" bestFit="1" customWidth="1"/>
    <col min="2" max="2" width="38.85546875" bestFit="1" customWidth="1"/>
    <col min="3" max="3" width="11.7109375" bestFit="1" customWidth="1"/>
    <col min="4" max="4" width="6.140625" style="1" bestFit="1" customWidth="1"/>
    <col min="5" max="5" width="5.5703125" style="1" bestFit="1" customWidth="1"/>
    <col min="6" max="6" width="6.140625" style="1" bestFit="1" customWidth="1"/>
    <col min="7" max="7" width="5.5703125" style="1" bestFit="1" customWidth="1"/>
    <col min="8" max="9" width="6.140625" style="1" bestFit="1" customWidth="1"/>
    <col min="10" max="10" width="12.42578125" style="1" customWidth="1"/>
    <col min="11" max="11" width="14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t="s">
        <v>124</v>
      </c>
      <c r="L1" t="s">
        <v>161</v>
      </c>
    </row>
    <row r="2" spans="1:12" x14ac:dyDescent="0.25">
      <c r="A2" t="s">
        <v>10</v>
      </c>
      <c r="B2" t="s">
        <v>11</v>
      </c>
      <c r="C2" t="s">
        <v>12</v>
      </c>
      <c r="D2" s="1">
        <v>12.3</v>
      </c>
      <c r="E2" s="1">
        <v>20</v>
      </c>
      <c r="F2" s="1">
        <v>31</v>
      </c>
      <c r="G2" s="1">
        <v>13.84</v>
      </c>
      <c r="H2" s="1">
        <f>pe_nf[[#This Row],[P1]]+pe_nf[[#This Row],[L1]]</f>
        <v>32.299999999999997</v>
      </c>
      <c r="I2" s="1">
        <f>pe_nf[[#This Row],[P2]]+pe_nf[[#This Row],[L2]]</f>
        <v>44.84</v>
      </c>
      <c r="J2" s="1">
        <f>(pe_nf[[#This Row],[A1]]+pe_nf[[#This Row],[A2]]+IF(pe_nf[[#This Row],[2?]]="SIM",20,0))/2</f>
        <v>48.57</v>
      </c>
      <c r="K2" t="str">
        <f>IF(pe_nf[[#This Row],[Nota Final]]&gt;60,"APROVADO","REPROVADO")</f>
        <v>REPROVADO</v>
      </c>
      <c r="L2" s="1" t="s">
        <v>162</v>
      </c>
    </row>
    <row r="3" spans="1:12" hidden="1" x14ac:dyDescent="0.25">
      <c r="A3" t="s">
        <v>13</v>
      </c>
      <c r="B3" t="s">
        <v>14</v>
      </c>
      <c r="C3" t="s">
        <v>15</v>
      </c>
      <c r="D3" s="1">
        <v>67.680000000000007</v>
      </c>
      <c r="E3" s="1">
        <v>12</v>
      </c>
      <c r="F3" s="1">
        <v>50</v>
      </c>
      <c r="G3" s="1">
        <v>15.38</v>
      </c>
      <c r="H3" s="1">
        <f>pe_nf[[#This Row],[P1]]+pe_nf[[#This Row],[L1]]</f>
        <v>79.680000000000007</v>
      </c>
      <c r="I3" s="1">
        <f>pe_nf[[#This Row],[P2]]+pe_nf[[#This Row],[L2]]</f>
        <v>65.38</v>
      </c>
      <c r="J3" s="1">
        <f>(pe_nf[[#This Row],[A1]]+pe_nf[[#This Row],[A2]]+IF(pe_nf[[#This Row],[2?]]="SIM",20,0))/2</f>
        <v>72.53</v>
      </c>
      <c r="K3" t="str">
        <f>IF(pe_nf[[#This Row],[Nota Final]]&gt;60,"APROVADO","REPROVADO")</f>
        <v>APROVADO</v>
      </c>
      <c r="L3" s="1"/>
    </row>
    <row r="4" spans="1:12" hidden="1" x14ac:dyDescent="0.25">
      <c r="A4" t="s">
        <v>16</v>
      </c>
      <c r="B4" t="s">
        <v>17</v>
      </c>
      <c r="C4" t="s">
        <v>18</v>
      </c>
      <c r="D4" s="1">
        <v>36.9</v>
      </c>
      <c r="E4" s="1">
        <v>16</v>
      </c>
      <c r="F4" s="1">
        <v>37.5</v>
      </c>
      <c r="G4" s="1">
        <v>13.84</v>
      </c>
      <c r="H4" s="1">
        <f>pe_nf[[#This Row],[P1]]+pe_nf[[#This Row],[L1]]</f>
        <v>52.9</v>
      </c>
      <c r="I4" s="1">
        <f>pe_nf[[#This Row],[P2]]+pe_nf[[#This Row],[L2]]</f>
        <v>51.34</v>
      </c>
      <c r="J4" s="1">
        <f>(pe_nf[[#This Row],[A1]]+pe_nf[[#This Row],[A2]]+IF(pe_nf[[#This Row],[2?]]="SIM",20,0))/2</f>
        <v>62.120000000000005</v>
      </c>
      <c r="K4" t="str">
        <f>IF(pe_nf[[#This Row],[Nota Final]]&gt;60,"APROVADO","REPROVADO")</f>
        <v>APROVADO</v>
      </c>
      <c r="L4" s="1" t="s">
        <v>162</v>
      </c>
    </row>
    <row r="5" spans="1:12" hidden="1" x14ac:dyDescent="0.25">
      <c r="A5" t="s">
        <v>19</v>
      </c>
      <c r="B5" t="s">
        <v>20</v>
      </c>
      <c r="C5" t="s">
        <v>21</v>
      </c>
      <c r="D5" s="1">
        <v>55.36</v>
      </c>
      <c r="E5" s="1">
        <v>20</v>
      </c>
      <c r="F5" s="1">
        <v>67.5</v>
      </c>
      <c r="G5" s="1">
        <v>18.46</v>
      </c>
      <c r="H5" s="1">
        <f>pe_nf[[#This Row],[P1]]+pe_nf[[#This Row],[L1]]</f>
        <v>75.36</v>
      </c>
      <c r="I5" s="1">
        <f>pe_nf[[#This Row],[P2]]+pe_nf[[#This Row],[L2]]</f>
        <v>85.960000000000008</v>
      </c>
      <c r="J5" s="1">
        <f>(pe_nf[[#This Row],[A1]]+pe_nf[[#This Row],[A2]]+IF(pe_nf[[#This Row],[2?]]="SIM",20,0))/2</f>
        <v>80.66</v>
      </c>
      <c r="K5" t="str">
        <f>IF(pe_nf[[#This Row],[Nota Final]]&gt;60,"APROVADO","REPROVADO")</f>
        <v>APROVADO</v>
      </c>
      <c r="L5" s="1"/>
    </row>
    <row r="6" spans="1:12" x14ac:dyDescent="0.25">
      <c r="A6" t="s">
        <v>22</v>
      </c>
      <c r="B6" t="s">
        <v>23</v>
      </c>
      <c r="C6" t="s">
        <v>24</v>
      </c>
      <c r="D6" s="1">
        <v>30.75</v>
      </c>
      <c r="E6" s="1">
        <v>18</v>
      </c>
      <c r="F6" s="1">
        <v>10</v>
      </c>
      <c r="G6" s="1">
        <v>15.38</v>
      </c>
      <c r="H6" s="1">
        <f>pe_nf[[#This Row],[P1]]+pe_nf[[#This Row],[L1]]</f>
        <v>48.75</v>
      </c>
      <c r="I6" s="1">
        <f>pe_nf[[#This Row],[P2]]+pe_nf[[#This Row],[L2]]</f>
        <v>25.380000000000003</v>
      </c>
      <c r="J6" s="1">
        <f>(pe_nf[[#This Row],[A1]]+pe_nf[[#This Row],[A2]]+IF(pe_nf[[#This Row],[2?]]="SIM",20,0))/2</f>
        <v>47.064999999999998</v>
      </c>
      <c r="K6" t="str">
        <f>IF(pe_nf[[#This Row],[Nota Final]]&gt;60,"APROVADO","REPROVADO")</f>
        <v>REPROVADO</v>
      </c>
      <c r="L6" s="1" t="s">
        <v>162</v>
      </c>
    </row>
    <row r="7" spans="1:12" x14ac:dyDescent="0.25">
      <c r="A7" t="s">
        <v>25</v>
      </c>
      <c r="B7" t="s">
        <v>26</v>
      </c>
      <c r="C7" t="s">
        <v>27</v>
      </c>
      <c r="D7" s="1">
        <v>36.92</v>
      </c>
      <c r="E7" s="1">
        <v>16</v>
      </c>
      <c r="F7" s="1">
        <v>0</v>
      </c>
      <c r="G7" s="1">
        <v>0</v>
      </c>
      <c r="H7" s="1">
        <f>pe_nf[[#This Row],[P1]]+pe_nf[[#This Row],[L1]]</f>
        <v>52.92</v>
      </c>
      <c r="I7" s="1">
        <f>pe_nf[[#This Row],[P2]]+pe_nf[[#This Row],[L2]]</f>
        <v>0</v>
      </c>
      <c r="J7" s="1">
        <f>(pe_nf[[#This Row],[A1]]+pe_nf[[#This Row],[A2]]+IF(pe_nf[[#This Row],[2?]]="SIM",20,0))/2</f>
        <v>36.46</v>
      </c>
      <c r="K7" t="str">
        <f>IF(pe_nf[[#This Row],[Nota Final]]&gt;60,"APROVADO","REPROVADO")</f>
        <v>REPROVADO</v>
      </c>
      <c r="L7" s="1" t="s">
        <v>162</v>
      </c>
    </row>
    <row r="8" spans="1:12" x14ac:dyDescent="0.25">
      <c r="A8" t="s">
        <v>28</v>
      </c>
      <c r="B8" t="s">
        <v>29</v>
      </c>
      <c r="C8" t="s">
        <v>30</v>
      </c>
      <c r="D8" s="1">
        <v>55.36</v>
      </c>
      <c r="E8" s="1">
        <v>0</v>
      </c>
      <c r="F8" s="1">
        <v>12.5</v>
      </c>
      <c r="G8" s="1">
        <v>0</v>
      </c>
      <c r="H8" s="1">
        <f>pe_nf[[#This Row],[P1]]+pe_nf[[#This Row],[L1]]</f>
        <v>55.36</v>
      </c>
      <c r="I8" s="1">
        <f>pe_nf[[#This Row],[P2]]+pe_nf[[#This Row],[L2]]</f>
        <v>12.5</v>
      </c>
      <c r="J8" s="1">
        <f>(pe_nf[[#This Row],[A1]]+pe_nf[[#This Row],[A2]]+IF(pe_nf[[#This Row],[2?]]="SIM",20,0))/2</f>
        <v>43.93</v>
      </c>
      <c r="K8" t="str">
        <f>IF(pe_nf[[#This Row],[Nota Final]]&gt;60,"APROVADO","REPROVADO")</f>
        <v>REPROVADO</v>
      </c>
      <c r="L8" s="1" t="s">
        <v>162</v>
      </c>
    </row>
    <row r="9" spans="1:12" hidden="1" x14ac:dyDescent="0.25">
      <c r="A9" t="s">
        <v>31</v>
      </c>
      <c r="B9" t="s">
        <v>32</v>
      </c>
      <c r="C9" t="s">
        <v>33</v>
      </c>
      <c r="D9" s="1">
        <v>55.36</v>
      </c>
      <c r="E9" s="1">
        <v>20</v>
      </c>
      <c r="F9" s="1">
        <v>25</v>
      </c>
      <c r="G9" s="1">
        <v>16.920000000000002</v>
      </c>
      <c r="H9" s="1">
        <f>pe_nf[[#This Row],[P1]]+pe_nf[[#This Row],[L1]]</f>
        <v>75.36</v>
      </c>
      <c r="I9" s="1">
        <f>pe_nf[[#This Row],[P2]]+pe_nf[[#This Row],[L2]]</f>
        <v>41.92</v>
      </c>
      <c r="J9" s="1">
        <f>(pe_nf[[#This Row],[A1]]+pe_nf[[#This Row],[A2]]+IF(pe_nf[[#This Row],[2?]]="SIM",20,0))/2</f>
        <v>68.64</v>
      </c>
      <c r="K9" t="str">
        <f>IF(pe_nf[[#This Row],[Nota Final]]&gt;60,"APROVADO","REPROVADO")</f>
        <v>APROVADO</v>
      </c>
      <c r="L9" s="1" t="s">
        <v>162</v>
      </c>
    </row>
    <row r="10" spans="1:12" x14ac:dyDescent="0.25">
      <c r="A10" t="s">
        <v>34</v>
      </c>
      <c r="B10" t="s">
        <v>35</v>
      </c>
      <c r="C10" t="s">
        <v>36</v>
      </c>
      <c r="D10" s="1">
        <v>61.51</v>
      </c>
      <c r="E10" s="1">
        <v>20</v>
      </c>
      <c r="F10" s="1">
        <v>0</v>
      </c>
      <c r="G10" s="1">
        <v>15.38</v>
      </c>
      <c r="H10" s="1">
        <f>pe_nf[[#This Row],[P1]]+pe_nf[[#This Row],[L1]]</f>
        <v>81.509999999999991</v>
      </c>
      <c r="I10" s="1">
        <f>pe_nf[[#This Row],[P2]]+pe_nf[[#This Row],[L2]]</f>
        <v>15.38</v>
      </c>
      <c r="J10" s="1">
        <f>(pe_nf[[#This Row],[A1]]+pe_nf[[#This Row],[A2]]+IF(pe_nf[[#This Row],[2?]]="SIM",20,0))/2</f>
        <v>58.444999999999993</v>
      </c>
      <c r="K10" t="str">
        <f>IF(pe_nf[[#This Row],[Nota Final]]&gt;60,"APROVADO","REPROVADO")</f>
        <v>REPROVADO</v>
      </c>
      <c r="L10" s="1" t="s">
        <v>162</v>
      </c>
    </row>
    <row r="11" spans="1:12" hidden="1" x14ac:dyDescent="0.25">
      <c r="A11" t="s">
        <v>37</v>
      </c>
      <c r="B11" t="s">
        <v>38</v>
      </c>
      <c r="C11" t="s">
        <v>39</v>
      </c>
      <c r="D11" s="1">
        <v>30.75</v>
      </c>
      <c r="E11" s="1">
        <v>18</v>
      </c>
      <c r="F11" s="1">
        <v>46</v>
      </c>
      <c r="G11" s="1">
        <v>15.38</v>
      </c>
      <c r="H11" s="1">
        <f>pe_nf[[#This Row],[P1]]+pe_nf[[#This Row],[L1]]</f>
        <v>48.75</v>
      </c>
      <c r="I11" s="1">
        <f>pe_nf[[#This Row],[P2]]+pe_nf[[#This Row],[L2]]</f>
        <v>61.38</v>
      </c>
      <c r="J11" s="1">
        <f>(pe_nf[[#This Row],[A1]]+pe_nf[[#This Row],[A2]]+IF(pe_nf[[#This Row],[2?]]="SIM",20,0))/2</f>
        <v>65.064999999999998</v>
      </c>
      <c r="K11" t="str">
        <f>IF(pe_nf[[#This Row],[Nota Final]]&gt;60,"APROVADO","REPROVADO")</f>
        <v>APROVADO</v>
      </c>
      <c r="L11" s="1" t="s">
        <v>162</v>
      </c>
    </row>
    <row r="12" spans="1:12" x14ac:dyDescent="0.25">
      <c r="A12" t="s">
        <v>40</v>
      </c>
      <c r="B12" t="s">
        <v>41</v>
      </c>
      <c r="C12" t="s">
        <v>42</v>
      </c>
      <c r="D12" s="1">
        <v>12.3</v>
      </c>
      <c r="E12" s="1">
        <v>14</v>
      </c>
      <c r="F12" s="1">
        <v>30</v>
      </c>
      <c r="G12" s="1">
        <v>13.84</v>
      </c>
      <c r="H12" s="1">
        <f>pe_nf[[#This Row],[P1]]+pe_nf[[#This Row],[L1]]</f>
        <v>26.3</v>
      </c>
      <c r="I12" s="1">
        <f>pe_nf[[#This Row],[P2]]+pe_nf[[#This Row],[L2]]</f>
        <v>43.84</v>
      </c>
      <c r="J12" s="1">
        <f>(pe_nf[[#This Row],[A1]]+pe_nf[[#This Row],[A2]]+IF(pe_nf[[#This Row],[2?]]="SIM",20,0))/2</f>
        <v>45.07</v>
      </c>
      <c r="K12" t="str">
        <f>IF(pe_nf[[#This Row],[Nota Final]]&gt;60,"APROVADO","REPROVADO")</f>
        <v>REPROVADO</v>
      </c>
      <c r="L12" s="1" t="s">
        <v>162</v>
      </c>
    </row>
    <row r="13" spans="1:12" x14ac:dyDescent="0.25">
      <c r="A13" t="s">
        <v>43</v>
      </c>
      <c r="B13" t="s">
        <v>44</v>
      </c>
      <c r="C13" t="s">
        <v>45</v>
      </c>
      <c r="D13" s="1">
        <v>24.63</v>
      </c>
      <c r="E13" s="1">
        <v>16</v>
      </c>
      <c r="F13" s="1">
        <v>10</v>
      </c>
      <c r="G13" s="1">
        <v>18.46</v>
      </c>
      <c r="H13" s="1">
        <f>pe_nf[[#This Row],[P1]]+pe_nf[[#This Row],[L1]]</f>
        <v>40.629999999999995</v>
      </c>
      <c r="I13" s="1">
        <f>pe_nf[[#This Row],[P2]]+pe_nf[[#This Row],[L2]]</f>
        <v>28.46</v>
      </c>
      <c r="J13" s="1">
        <f>(pe_nf[[#This Row],[A1]]+pe_nf[[#This Row],[A2]]+IF(pe_nf[[#This Row],[2?]]="SIM",20,0))/2</f>
        <v>44.545000000000002</v>
      </c>
      <c r="K13" t="str">
        <f>IF(pe_nf[[#This Row],[Nota Final]]&gt;60,"APROVADO","REPROVADO")</f>
        <v>REPROVADO</v>
      </c>
      <c r="L13" s="1" t="s">
        <v>162</v>
      </c>
    </row>
    <row r="14" spans="1:12" x14ac:dyDescent="0.25">
      <c r="A14" t="s">
        <v>46</v>
      </c>
      <c r="B14" t="s">
        <v>47</v>
      </c>
      <c r="C14" t="s">
        <v>48</v>
      </c>
      <c r="D14" s="1">
        <v>30.77</v>
      </c>
      <c r="E14" s="1">
        <v>20</v>
      </c>
      <c r="F14" s="1">
        <v>28.5</v>
      </c>
      <c r="G14" s="1">
        <v>16.920000000000002</v>
      </c>
      <c r="H14" s="1">
        <f>pe_nf[[#This Row],[P1]]+pe_nf[[#This Row],[L1]]</f>
        <v>50.769999999999996</v>
      </c>
      <c r="I14" s="1">
        <f>pe_nf[[#This Row],[P2]]+pe_nf[[#This Row],[L2]]</f>
        <v>45.42</v>
      </c>
      <c r="J14" s="1">
        <f>(pe_nf[[#This Row],[A1]]+pe_nf[[#This Row],[A2]]+IF(pe_nf[[#This Row],[2?]]="SIM",20,0))/2</f>
        <v>58.094999999999999</v>
      </c>
      <c r="K14" t="str">
        <f>IF(pe_nf[[#This Row],[Nota Final]]&gt;60,"APROVADO","REPROVADO")</f>
        <v>REPROVADO</v>
      </c>
      <c r="L14" s="1" t="s">
        <v>162</v>
      </c>
    </row>
    <row r="15" spans="1:12" x14ac:dyDescent="0.25">
      <c r="A15" t="s">
        <v>49</v>
      </c>
      <c r="B15" t="s">
        <v>50</v>
      </c>
      <c r="C15" t="s">
        <v>51</v>
      </c>
      <c r="D15" s="1">
        <v>49.23</v>
      </c>
      <c r="E15" s="1">
        <v>12</v>
      </c>
      <c r="F15" s="1">
        <v>12.5</v>
      </c>
      <c r="G15" s="1">
        <v>0</v>
      </c>
      <c r="H15" s="1">
        <f>pe_nf[[#This Row],[P1]]+pe_nf[[#This Row],[L1]]</f>
        <v>61.23</v>
      </c>
      <c r="I15" s="1">
        <f>pe_nf[[#This Row],[P2]]+pe_nf[[#This Row],[L2]]</f>
        <v>12.5</v>
      </c>
      <c r="J15" s="1">
        <f>(pe_nf[[#This Row],[A1]]+pe_nf[[#This Row],[A2]]+IF(pe_nf[[#This Row],[2?]]="SIM",20,0))/2</f>
        <v>46.864999999999995</v>
      </c>
      <c r="K15" t="str">
        <f>IF(pe_nf[[#This Row],[Nota Final]]&gt;60,"APROVADO","REPROVADO")</f>
        <v>REPROVADO</v>
      </c>
      <c r="L15" s="1" t="s">
        <v>162</v>
      </c>
    </row>
    <row r="16" spans="1:12" x14ac:dyDescent="0.25">
      <c r="A16" t="s">
        <v>52</v>
      </c>
      <c r="B16" t="s">
        <v>53</v>
      </c>
      <c r="C16" t="s">
        <v>54</v>
      </c>
      <c r="D16" s="1">
        <v>12.3</v>
      </c>
      <c r="E16" s="1">
        <v>16</v>
      </c>
      <c r="F16" s="1">
        <v>24.5</v>
      </c>
      <c r="G16" s="1">
        <v>13.84</v>
      </c>
      <c r="H16" s="1">
        <f>pe_nf[[#This Row],[P1]]+pe_nf[[#This Row],[L1]]</f>
        <v>28.3</v>
      </c>
      <c r="I16" s="1">
        <f>pe_nf[[#This Row],[P2]]+pe_nf[[#This Row],[L2]]</f>
        <v>38.340000000000003</v>
      </c>
      <c r="J16" s="1">
        <f>(pe_nf[[#This Row],[A1]]+pe_nf[[#This Row],[A2]]+IF(pe_nf[[#This Row],[2?]]="SIM",20,0))/2</f>
        <v>43.32</v>
      </c>
      <c r="K16" t="str">
        <f>IF(pe_nf[[#This Row],[Nota Final]]&gt;60,"APROVADO","REPROVADO")</f>
        <v>REPROVADO</v>
      </c>
      <c r="L16" s="1" t="s">
        <v>162</v>
      </c>
    </row>
    <row r="17" spans="1:12" hidden="1" x14ac:dyDescent="0.25">
      <c r="A17" t="s">
        <v>55</v>
      </c>
      <c r="B17" t="s">
        <v>56</v>
      </c>
      <c r="C17" t="s">
        <v>57</v>
      </c>
      <c r="D17" s="1">
        <v>24.6</v>
      </c>
      <c r="E17" s="1">
        <v>20</v>
      </c>
      <c r="F17" s="1">
        <v>49</v>
      </c>
      <c r="G17" s="1">
        <v>16.920000000000002</v>
      </c>
      <c r="H17" s="1">
        <f>pe_nf[[#This Row],[P1]]+pe_nf[[#This Row],[L1]]</f>
        <v>44.6</v>
      </c>
      <c r="I17" s="1">
        <f>pe_nf[[#This Row],[P2]]+pe_nf[[#This Row],[L2]]</f>
        <v>65.92</v>
      </c>
      <c r="J17" s="1">
        <f>(pe_nf[[#This Row],[A1]]+pe_nf[[#This Row],[A2]]+IF(pe_nf[[#This Row],[2?]]="SIM",20,0))/2</f>
        <v>65.260000000000005</v>
      </c>
      <c r="K17" t="str">
        <f>IF(pe_nf[[#This Row],[Nota Final]]&gt;60,"APROVADO","REPROVADO")</f>
        <v>APROVADO</v>
      </c>
      <c r="L17" s="1" t="s">
        <v>162</v>
      </c>
    </row>
    <row r="18" spans="1:12" hidden="1" x14ac:dyDescent="0.25">
      <c r="A18" t="s">
        <v>58</v>
      </c>
      <c r="B18" t="s">
        <v>59</v>
      </c>
      <c r="C18" t="s">
        <v>60</v>
      </c>
      <c r="D18" s="1">
        <v>36.92</v>
      </c>
      <c r="E18" s="1">
        <v>18</v>
      </c>
      <c r="F18" s="1">
        <v>40</v>
      </c>
      <c r="G18" s="1">
        <v>15.38</v>
      </c>
      <c r="H18" s="1">
        <f>pe_nf[[#This Row],[P1]]+pe_nf[[#This Row],[L1]]</f>
        <v>54.92</v>
      </c>
      <c r="I18" s="1">
        <f>pe_nf[[#This Row],[P2]]+pe_nf[[#This Row],[L2]]</f>
        <v>55.38</v>
      </c>
      <c r="J18" s="1">
        <f>(pe_nf[[#This Row],[A1]]+pe_nf[[#This Row],[A2]]+IF(pe_nf[[#This Row],[2?]]="SIM",20,0))/2</f>
        <v>65.150000000000006</v>
      </c>
      <c r="K18" t="str">
        <f>IF(pe_nf[[#This Row],[Nota Final]]&gt;60,"APROVADO","REPROVADO")</f>
        <v>APROVADO</v>
      </c>
      <c r="L18" s="1" t="s">
        <v>162</v>
      </c>
    </row>
    <row r="19" spans="1:12" x14ac:dyDescent="0.25">
      <c r="A19" t="s">
        <v>61</v>
      </c>
      <c r="B19" t="s">
        <v>62</v>
      </c>
      <c r="C19" t="s">
        <v>63</v>
      </c>
      <c r="D19" s="1">
        <v>18.48</v>
      </c>
      <c r="E19" s="1">
        <v>18</v>
      </c>
      <c r="F19" s="1">
        <v>45</v>
      </c>
      <c r="G19" s="1">
        <v>18.46</v>
      </c>
      <c r="H19" s="1">
        <f>pe_nf[[#This Row],[P1]]+pe_nf[[#This Row],[L1]]</f>
        <v>36.480000000000004</v>
      </c>
      <c r="I19" s="1">
        <f>pe_nf[[#This Row],[P2]]+pe_nf[[#This Row],[L2]]</f>
        <v>63.46</v>
      </c>
      <c r="J19" s="1">
        <f>(pe_nf[[#This Row],[A1]]+pe_nf[[#This Row],[A2]]+IF(pe_nf[[#This Row],[2?]]="SIM",20,0))/2</f>
        <v>59.97</v>
      </c>
      <c r="K19" t="str">
        <f>IF(pe_nf[[#This Row],[Nota Final]]&gt;60,"APROVADO","REPROVADO")</f>
        <v>REPROVADO</v>
      </c>
      <c r="L19" s="1" t="s">
        <v>162</v>
      </c>
    </row>
    <row r="20" spans="1:12" hidden="1" x14ac:dyDescent="0.25">
      <c r="A20" t="s">
        <v>64</v>
      </c>
      <c r="B20" t="s">
        <v>65</v>
      </c>
      <c r="C20" t="s">
        <v>66</v>
      </c>
      <c r="D20" s="1">
        <v>36.9</v>
      </c>
      <c r="E20" s="1">
        <v>20</v>
      </c>
      <c r="F20" s="1">
        <v>54</v>
      </c>
      <c r="G20" s="1">
        <v>18.46</v>
      </c>
      <c r="H20" s="1">
        <f>pe_nf[[#This Row],[P1]]+pe_nf[[#This Row],[L1]]</f>
        <v>56.9</v>
      </c>
      <c r="I20" s="1">
        <f>pe_nf[[#This Row],[P2]]+pe_nf[[#This Row],[L2]]</f>
        <v>72.460000000000008</v>
      </c>
      <c r="J20" s="1">
        <f>(pe_nf[[#This Row],[A1]]+pe_nf[[#This Row],[A2]]+IF(pe_nf[[#This Row],[2?]]="SIM",20,0))/2</f>
        <v>64.680000000000007</v>
      </c>
      <c r="K20" t="str">
        <f>IF(pe_nf[[#This Row],[Nota Final]]&gt;60,"APROVADO","REPROVADO")</f>
        <v>APROVADO</v>
      </c>
      <c r="L20" s="1"/>
    </row>
    <row r="21" spans="1:12" x14ac:dyDescent="0.25">
      <c r="A21" t="s">
        <v>67</v>
      </c>
      <c r="B21" t="s">
        <v>68</v>
      </c>
      <c r="C21" t="s">
        <v>69</v>
      </c>
      <c r="D21" s="1">
        <v>12.32</v>
      </c>
      <c r="E21" s="1">
        <v>0</v>
      </c>
      <c r="F21" s="1">
        <v>20</v>
      </c>
      <c r="G21" s="1">
        <v>0</v>
      </c>
      <c r="H21" s="1">
        <f>pe_nf[[#This Row],[P1]]+pe_nf[[#This Row],[L1]]</f>
        <v>12.32</v>
      </c>
      <c r="I21" s="1">
        <f>pe_nf[[#This Row],[P2]]+pe_nf[[#This Row],[L2]]</f>
        <v>20</v>
      </c>
      <c r="J21" s="1">
        <f>(pe_nf[[#This Row],[A1]]+pe_nf[[#This Row],[A2]]+IF(pe_nf[[#This Row],[2?]]="SIM",20,0))/2</f>
        <v>26.16</v>
      </c>
      <c r="K21" t="str">
        <f>IF(pe_nf[[#This Row],[Nota Final]]&gt;60,"APROVADO","REPROVADO")</f>
        <v>REPROVADO</v>
      </c>
      <c r="L21" s="1" t="s">
        <v>162</v>
      </c>
    </row>
    <row r="22" spans="1:12" hidden="1" x14ac:dyDescent="0.25">
      <c r="A22" t="s">
        <v>70</v>
      </c>
      <c r="B22" t="s">
        <v>71</v>
      </c>
      <c r="C22" t="s">
        <v>72</v>
      </c>
      <c r="D22" s="1">
        <v>49.21</v>
      </c>
      <c r="E22" s="1">
        <v>20</v>
      </c>
      <c r="F22" s="1">
        <v>48</v>
      </c>
      <c r="G22" s="1">
        <v>16.920000000000002</v>
      </c>
      <c r="H22" s="1">
        <f>pe_nf[[#This Row],[P1]]+pe_nf[[#This Row],[L1]]</f>
        <v>69.210000000000008</v>
      </c>
      <c r="I22" s="1">
        <f>pe_nf[[#This Row],[P2]]+pe_nf[[#This Row],[L2]]</f>
        <v>64.92</v>
      </c>
      <c r="J22" s="1">
        <f>(pe_nf[[#This Row],[A1]]+pe_nf[[#This Row],[A2]]+IF(pe_nf[[#This Row],[2?]]="SIM",20,0))/2</f>
        <v>67.064999999999998</v>
      </c>
      <c r="K22" t="str">
        <f>IF(pe_nf[[#This Row],[Nota Final]]&gt;60,"APROVADO","REPROVADO")</f>
        <v>APROVADO</v>
      </c>
      <c r="L22" s="1"/>
    </row>
    <row r="23" spans="1:12" hidden="1" x14ac:dyDescent="0.25">
      <c r="A23" t="s">
        <v>73</v>
      </c>
      <c r="B23" t="s">
        <v>74</v>
      </c>
      <c r="C23" t="s">
        <v>75</v>
      </c>
      <c r="D23" s="1">
        <v>67.7</v>
      </c>
      <c r="E23" s="1">
        <v>20</v>
      </c>
      <c r="F23" s="1">
        <v>45</v>
      </c>
      <c r="G23" s="1">
        <v>19.989999999999998</v>
      </c>
      <c r="H23" s="1">
        <f>pe_nf[[#This Row],[P1]]+pe_nf[[#This Row],[L1]]</f>
        <v>87.7</v>
      </c>
      <c r="I23" s="1">
        <f>pe_nf[[#This Row],[P2]]+pe_nf[[#This Row],[L2]]</f>
        <v>64.989999999999995</v>
      </c>
      <c r="J23" s="1">
        <f>(pe_nf[[#This Row],[A1]]+pe_nf[[#This Row],[A2]]+IF(pe_nf[[#This Row],[2?]]="SIM",20,0))/2</f>
        <v>76.344999999999999</v>
      </c>
      <c r="K23" t="str">
        <f>IF(pe_nf[[#This Row],[Nota Final]]&gt;60,"APROVADO","REPROVADO")</f>
        <v>APROVADO</v>
      </c>
      <c r="L23" s="1"/>
    </row>
    <row r="24" spans="1:12" x14ac:dyDescent="0.25">
      <c r="A24" t="s">
        <v>76</v>
      </c>
      <c r="B24" t="s">
        <v>77</v>
      </c>
      <c r="C24" t="s">
        <v>78</v>
      </c>
      <c r="D24" s="1">
        <v>18.47</v>
      </c>
      <c r="E24" s="1">
        <v>20</v>
      </c>
      <c r="F24" s="1">
        <v>40</v>
      </c>
      <c r="G24" s="1">
        <v>15.38</v>
      </c>
      <c r="H24" s="1">
        <f>pe_nf[[#This Row],[P1]]+pe_nf[[#This Row],[L1]]</f>
        <v>38.47</v>
      </c>
      <c r="I24" s="1">
        <f>pe_nf[[#This Row],[P2]]+pe_nf[[#This Row],[L2]]</f>
        <v>55.38</v>
      </c>
      <c r="J24" s="1">
        <f>(pe_nf[[#This Row],[A1]]+pe_nf[[#This Row],[A2]]+IF(pe_nf[[#This Row],[2?]]="SIM",20,0))/2</f>
        <v>56.924999999999997</v>
      </c>
      <c r="K24" t="str">
        <f>IF(pe_nf[[#This Row],[Nota Final]]&gt;60,"APROVADO","REPROVADO")</f>
        <v>REPROVADO</v>
      </c>
      <c r="L24" s="1" t="s">
        <v>162</v>
      </c>
    </row>
    <row r="25" spans="1:12" hidden="1" x14ac:dyDescent="0.25">
      <c r="A25" t="s">
        <v>79</v>
      </c>
      <c r="B25" t="s">
        <v>80</v>
      </c>
      <c r="C25" t="s">
        <v>81</v>
      </c>
      <c r="D25" s="1">
        <v>67.69</v>
      </c>
      <c r="E25" s="1">
        <v>16</v>
      </c>
      <c r="F25" s="1">
        <v>48</v>
      </c>
      <c r="G25" s="1">
        <v>16.920000000000002</v>
      </c>
      <c r="H25" s="1">
        <f>pe_nf[[#This Row],[P1]]+pe_nf[[#This Row],[L1]]</f>
        <v>83.69</v>
      </c>
      <c r="I25" s="1">
        <f>pe_nf[[#This Row],[P2]]+pe_nf[[#This Row],[L2]]</f>
        <v>64.92</v>
      </c>
      <c r="J25" s="1">
        <f>(pe_nf[[#This Row],[A1]]+pe_nf[[#This Row],[A2]]+IF(pe_nf[[#This Row],[2?]]="SIM",20,0))/2</f>
        <v>74.305000000000007</v>
      </c>
      <c r="K25" t="str">
        <f>IF(pe_nf[[#This Row],[Nota Final]]&gt;60,"APROVADO","REPROVADO")</f>
        <v>APROVADO</v>
      </c>
      <c r="L25" s="1"/>
    </row>
    <row r="26" spans="1:12" hidden="1" x14ac:dyDescent="0.25">
      <c r="A26" t="s">
        <v>82</v>
      </c>
      <c r="B26" t="s">
        <v>83</v>
      </c>
      <c r="C26" t="s">
        <v>84</v>
      </c>
      <c r="D26" s="1">
        <v>36.93</v>
      </c>
      <c r="E26" s="1">
        <v>14</v>
      </c>
      <c r="F26" s="1">
        <v>48</v>
      </c>
      <c r="G26" s="1">
        <v>13.84</v>
      </c>
      <c r="H26" s="1">
        <f>pe_nf[[#This Row],[P1]]+pe_nf[[#This Row],[L1]]</f>
        <v>50.93</v>
      </c>
      <c r="I26" s="1">
        <f>pe_nf[[#This Row],[P2]]+pe_nf[[#This Row],[L2]]</f>
        <v>61.84</v>
      </c>
      <c r="J26" s="1">
        <f>(pe_nf[[#This Row],[A1]]+pe_nf[[#This Row],[A2]]+IF(pe_nf[[#This Row],[2?]]="SIM",20,0))/2</f>
        <v>66.385000000000005</v>
      </c>
      <c r="K26" t="str">
        <f>IF(pe_nf[[#This Row],[Nota Final]]&gt;60,"APROVADO","REPROVADO")</f>
        <v>APROVADO</v>
      </c>
      <c r="L26" s="1" t="s">
        <v>162</v>
      </c>
    </row>
    <row r="27" spans="1:12" hidden="1" x14ac:dyDescent="0.25">
      <c r="A27" t="s">
        <v>85</v>
      </c>
      <c r="B27" t="s">
        <v>86</v>
      </c>
      <c r="C27" t="s">
        <v>87</v>
      </c>
      <c r="D27" s="1">
        <v>67.69</v>
      </c>
      <c r="E27" s="1">
        <v>18</v>
      </c>
      <c r="F27" s="1">
        <v>56</v>
      </c>
      <c r="G27" s="1">
        <v>13.84</v>
      </c>
      <c r="H27" s="1">
        <f>pe_nf[[#This Row],[P1]]+pe_nf[[#This Row],[L1]]</f>
        <v>85.69</v>
      </c>
      <c r="I27" s="1">
        <f>pe_nf[[#This Row],[P2]]+pe_nf[[#This Row],[L2]]</f>
        <v>69.84</v>
      </c>
      <c r="J27" s="1">
        <f>(pe_nf[[#This Row],[A1]]+pe_nf[[#This Row],[A2]]+IF(pe_nf[[#This Row],[2?]]="SIM",20,0))/2</f>
        <v>77.765000000000001</v>
      </c>
      <c r="K27" t="str">
        <f>IF(pe_nf[[#This Row],[Nota Final]]&gt;60,"APROVADO","REPROVADO")</f>
        <v>APROVADO</v>
      </c>
      <c r="L27" s="1"/>
    </row>
    <row r="28" spans="1:12" hidden="1" x14ac:dyDescent="0.25">
      <c r="A28" t="s">
        <v>88</v>
      </c>
      <c r="B28" t="s">
        <v>89</v>
      </c>
      <c r="C28" t="s">
        <v>90</v>
      </c>
      <c r="D28" s="1">
        <v>55.38</v>
      </c>
      <c r="E28" s="1">
        <v>20</v>
      </c>
      <c r="F28" s="1">
        <v>57.9</v>
      </c>
      <c r="G28" s="1">
        <v>16.920000000000002</v>
      </c>
      <c r="H28" s="1">
        <f>pe_nf[[#This Row],[P1]]+pe_nf[[#This Row],[L1]]</f>
        <v>75.38</v>
      </c>
      <c r="I28" s="1">
        <f>pe_nf[[#This Row],[P2]]+pe_nf[[#This Row],[L2]]</f>
        <v>74.819999999999993</v>
      </c>
      <c r="J28" s="1">
        <f>(pe_nf[[#This Row],[A1]]+pe_nf[[#This Row],[A2]]+IF(pe_nf[[#This Row],[2?]]="SIM",20,0))/2</f>
        <v>75.099999999999994</v>
      </c>
      <c r="K28" t="str">
        <f>IF(pe_nf[[#This Row],[Nota Final]]&gt;60,"APROVADO","REPROVADO")</f>
        <v>APROVADO</v>
      </c>
      <c r="L28" s="1"/>
    </row>
    <row r="29" spans="1:12" x14ac:dyDescent="0.25">
      <c r="A29" t="s">
        <v>91</v>
      </c>
      <c r="B29" t="s">
        <v>92</v>
      </c>
      <c r="C29" t="s">
        <v>93</v>
      </c>
      <c r="D29" s="1">
        <v>12.3</v>
      </c>
      <c r="E29" s="1">
        <v>0</v>
      </c>
      <c r="F29" s="1">
        <v>34.5</v>
      </c>
      <c r="G29" s="1">
        <v>4.6100000000000003</v>
      </c>
      <c r="H29" s="1">
        <f>pe_nf[[#This Row],[P1]]+pe_nf[[#This Row],[L1]]</f>
        <v>12.3</v>
      </c>
      <c r="I29" s="1">
        <f>pe_nf[[#This Row],[P2]]+pe_nf[[#This Row],[L2]]</f>
        <v>39.11</v>
      </c>
      <c r="J29" s="1">
        <f>(pe_nf[[#This Row],[A1]]+pe_nf[[#This Row],[A2]]+IF(pe_nf[[#This Row],[2?]]="SIM",20,0))/2</f>
        <v>35.704999999999998</v>
      </c>
      <c r="K29" t="str">
        <f>IF(pe_nf[[#This Row],[Nota Final]]&gt;60,"APROVADO","REPROVADO")</f>
        <v>REPROVADO</v>
      </c>
      <c r="L29" s="1" t="s">
        <v>162</v>
      </c>
    </row>
    <row r="30" spans="1:12" hidden="1" x14ac:dyDescent="0.25">
      <c r="A30" t="s">
        <v>94</v>
      </c>
      <c r="B30" t="s">
        <v>95</v>
      </c>
      <c r="C30" t="s">
        <v>96</v>
      </c>
      <c r="D30" s="1">
        <v>61.53</v>
      </c>
      <c r="E30" s="1">
        <v>20</v>
      </c>
      <c r="F30" s="1">
        <v>41</v>
      </c>
      <c r="G30" s="1">
        <v>18.46</v>
      </c>
      <c r="H30" s="1">
        <f>pe_nf[[#This Row],[P1]]+pe_nf[[#This Row],[L1]]</f>
        <v>81.53</v>
      </c>
      <c r="I30" s="1">
        <f>pe_nf[[#This Row],[P2]]+pe_nf[[#This Row],[L2]]</f>
        <v>59.46</v>
      </c>
      <c r="J30" s="1">
        <f>(pe_nf[[#This Row],[A1]]+pe_nf[[#This Row],[A2]]+IF(pe_nf[[#This Row],[2?]]="SIM",20,0))/2</f>
        <v>70.495000000000005</v>
      </c>
      <c r="K30" t="str">
        <f>IF(pe_nf[[#This Row],[Nota Final]]&gt;60,"APROVADO","REPROVADO")</f>
        <v>APROVADO</v>
      </c>
      <c r="L30" s="1"/>
    </row>
    <row r="31" spans="1:12" hidden="1" x14ac:dyDescent="0.25">
      <c r="A31" t="s">
        <v>97</v>
      </c>
      <c r="B31" t="s">
        <v>98</v>
      </c>
      <c r="C31" t="s">
        <v>99</v>
      </c>
      <c r="D31" s="1">
        <v>30.76</v>
      </c>
      <c r="E31" s="1">
        <v>20</v>
      </c>
      <c r="F31" s="1">
        <v>72</v>
      </c>
      <c r="G31" s="1">
        <v>16.920000000000002</v>
      </c>
      <c r="H31" s="1">
        <f>pe_nf[[#This Row],[P1]]+pe_nf[[#This Row],[L1]]</f>
        <v>50.760000000000005</v>
      </c>
      <c r="I31" s="1">
        <f>pe_nf[[#This Row],[P2]]+pe_nf[[#This Row],[L2]]</f>
        <v>88.92</v>
      </c>
      <c r="J31" s="1">
        <f>(pe_nf[[#This Row],[A1]]+pe_nf[[#This Row],[A2]]+IF(pe_nf[[#This Row],[2?]]="SIM",20,0))/2</f>
        <v>69.84</v>
      </c>
      <c r="K31" t="str">
        <f>IF(pe_nf[[#This Row],[Nota Final]]&gt;60,"APROVADO","REPROVADO")</f>
        <v>APROVADO</v>
      </c>
      <c r="L31" s="1"/>
    </row>
    <row r="32" spans="1:12" hidden="1" x14ac:dyDescent="0.25">
      <c r="A32" t="s">
        <v>100</v>
      </c>
      <c r="B32" t="s">
        <v>101</v>
      </c>
      <c r="C32" t="s">
        <v>102</v>
      </c>
      <c r="D32" s="1">
        <v>49.22</v>
      </c>
      <c r="E32" s="1">
        <v>16</v>
      </c>
      <c r="F32" s="1">
        <v>29.5</v>
      </c>
      <c r="G32" s="1">
        <v>16.920000000000002</v>
      </c>
      <c r="H32" s="1">
        <f>pe_nf[[#This Row],[P1]]+pe_nf[[#This Row],[L1]]</f>
        <v>65.22</v>
      </c>
      <c r="I32" s="1">
        <f>pe_nf[[#This Row],[P2]]+pe_nf[[#This Row],[L2]]</f>
        <v>46.42</v>
      </c>
      <c r="J32" s="1">
        <f>(pe_nf[[#This Row],[A1]]+pe_nf[[#This Row],[A2]]+IF(pe_nf[[#This Row],[2?]]="SIM",20,0))/2</f>
        <v>65.819999999999993</v>
      </c>
      <c r="K32" t="str">
        <f>IF(pe_nf[[#This Row],[Nota Final]]&gt;60,"APROVADO","REPROVADO")</f>
        <v>APROVADO</v>
      </c>
      <c r="L32" s="1" t="s">
        <v>162</v>
      </c>
    </row>
    <row r="33" spans="1:12" x14ac:dyDescent="0.25">
      <c r="A33" t="s">
        <v>103</v>
      </c>
      <c r="B33" t="s">
        <v>104</v>
      </c>
      <c r="C33" t="s">
        <v>105</v>
      </c>
      <c r="D33" s="1">
        <v>43.08</v>
      </c>
      <c r="E33" s="1">
        <v>4</v>
      </c>
      <c r="F33" s="1">
        <v>15</v>
      </c>
      <c r="G33" s="1">
        <v>13.84</v>
      </c>
      <c r="H33" s="1">
        <f>pe_nf[[#This Row],[P1]]+pe_nf[[#This Row],[L1]]</f>
        <v>47.08</v>
      </c>
      <c r="I33" s="1">
        <f>pe_nf[[#This Row],[P2]]+pe_nf[[#This Row],[L2]]</f>
        <v>28.84</v>
      </c>
      <c r="J33" s="1">
        <f>(pe_nf[[#This Row],[A1]]+pe_nf[[#This Row],[A2]]+IF(pe_nf[[#This Row],[2?]]="SIM",20,0))/2</f>
        <v>47.96</v>
      </c>
      <c r="K33" t="str">
        <f>IF(pe_nf[[#This Row],[Nota Final]]&gt;60,"APROVADO","REPROVADO")</f>
        <v>REPROVADO</v>
      </c>
      <c r="L33" s="1" t="s">
        <v>162</v>
      </c>
    </row>
    <row r="34" spans="1:12" x14ac:dyDescent="0.25">
      <c r="A34" t="s">
        <v>106</v>
      </c>
      <c r="B34" t="s">
        <v>107</v>
      </c>
      <c r="C34" t="s">
        <v>108</v>
      </c>
      <c r="D34" s="1">
        <v>30.77</v>
      </c>
      <c r="E34" s="1">
        <v>20</v>
      </c>
      <c r="F34" s="1">
        <v>1</v>
      </c>
      <c r="G34" s="1">
        <v>13.84</v>
      </c>
      <c r="H34" s="1">
        <f>pe_nf[[#This Row],[P1]]+pe_nf[[#This Row],[L1]]</f>
        <v>50.769999999999996</v>
      </c>
      <c r="I34" s="1">
        <f>pe_nf[[#This Row],[P2]]+pe_nf[[#This Row],[L2]]</f>
        <v>14.84</v>
      </c>
      <c r="J34" s="1">
        <f>(pe_nf[[#This Row],[A1]]+pe_nf[[#This Row],[A2]]+IF(pe_nf[[#This Row],[2?]]="SIM",20,0))/2</f>
        <v>42.805</v>
      </c>
      <c r="K34" t="str">
        <f>IF(pe_nf[[#This Row],[Nota Final]]&gt;60,"APROVADO","REPROVADO")</f>
        <v>REPROVADO</v>
      </c>
      <c r="L34" s="1" t="s">
        <v>162</v>
      </c>
    </row>
    <row r="35" spans="1:12" x14ac:dyDescent="0.25">
      <c r="A35" t="s">
        <v>109</v>
      </c>
      <c r="B35" t="s">
        <v>110</v>
      </c>
      <c r="C35" t="s">
        <v>111</v>
      </c>
      <c r="D35" s="1">
        <v>43.07</v>
      </c>
      <c r="E35" s="1">
        <v>12</v>
      </c>
      <c r="F35" s="1">
        <v>0</v>
      </c>
      <c r="G35" s="1">
        <v>0</v>
      </c>
      <c r="H35" s="1">
        <f>pe_nf[[#This Row],[P1]]+pe_nf[[#This Row],[L1]]</f>
        <v>55.07</v>
      </c>
      <c r="I35" s="1">
        <f>pe_nf[[#This Row],[P2]]+pe_nf[[#This Row],[L2]]</f>
        <v>0</v>
      </c>
      <c r="J35" s="1">
        <f>(pe_nf[[#This Row],[A1]]+pe_nf[[#This Row],[A2]]+IF(pe_nf[[#This Row],[2?]]="SIM",20,0))/2</f>
        <v>37.534999999999997</v>
      </c>
      <c r="K35" t="str">
        <f>IF(pe_nf[[#This Row],[Nota Final]]&gt;60,"APROVADO","REPROVADO")</f>
        <v>REPROVADO</v>
      </c>
      <c r="L35" s="1" t="s">
        <v>162</v>
      </c>
    </row>
    <row r="36" spans="1:12" x14ac:dyDescent="0.25">
      <c r="A36" t="s">
        <v>112</v>
      </c>
      <c r="B36" t="s">
        <v>113</v>
      </c>
      <c r="C36" t="s">
        <v>114</v>
      </c>
      <c r="D36" s="1">
        <v>18.45</v>
      </c>
      <c r="E36" s="1">
        <v>16</v>
      </c>
      <c r="F36" s="1">
        <v>20</v>
      </c>
      <c r="G36" s="1">
        <v>16.920000000000002</v>
      </c>
      <c r="H36" s="1">
        <f>pe_nf[[#This Row],[P1]]+pe_nf[[#This Row],[L1]]</f>
        <v>34.450000000000003</v>
      </c>
      <c r="I36" s="1">
        <f>pe_nf[[#This Row],[P2]]+pe_nf[[#This Row],[L2]]</f>
        <v>36.92</v>
      </c>
      <c r="J36" s="1">
        <f>(pe_nf[[#This Row],[A1]]+pe_nf[[#This Row],[A2]]+IF(pe_nf[[#This Row],[2?]]="SIM",20,0))/2</f>
        <v>45.685000000000002</v>
      </c>
      <c r="K36" t="str">
        <f>IF(pe_nf[[#This Row],[Nota Final]]&gt;60,"APROVADO","REPROVADO")</f>
        <v>REPROVADO</v>
      </c>
      <c r="L36" s="1" t="s">
        <v>162</v>
      </c>
    </row>
    <row r="37" spans="1:12" hidden="1" x14ac:dyDescent="0.25">
      <c r="A37" t="s">
        <v>115</v>
      </c>
      <c r="B37" t="s">
        <v>116</v>
      </c>
      <c r="C37" t="s">
        <v>117</v>
      </c>
      <c r="D37" s="1">
        <v>36.9</v>
      </c>
      <c r="E37" s="1">
        <v>16</v>
      </c>
      <c r="F37" s="1">
        <v>67</v>
      </c>
      <c r="G37" s="1">
        <v>18.46</v>
      </c>
      <c r="H37" s="1">
        <f>pe_nf[[#This Row],[P1]]+pe_nf[[#This Row],[L1]]</f>
        <v>52.9</v>
      </c>
      <c r="I37" s="1">
        <f>pe_nf[[#This Row],[P2]]+pe_nf[[#This Row],[L2]]</f>
        <v>85.460000000000008</v>
      </c>
      <c r="J37" s="1">
        <f>(pe_nf[[#This Row],[A1]]+pe_nf[[#This Row],[A2]]+IF(pe_nf[[#This Row],[2?]]="SIM",20,0))/2</f>
        <v>69.180000000000007</v>
      </c>
      <c r="K37" t="str">
        <f>IF(pe_nf[[#This Row],[Nota Final]]&gt;60,"APROVADO","REPROVADO")</f>
        <v>APROVADO</v>
      </c>
      <c r="L37" s="1"/>
    </row>
    <row r="38" spans="1:12" hidden="1" x14ac:dyDescent="0.25">
      <c r="A38" t="s">
        <v>118</v>
      </c>
      <c r="B38" t="s">
        <v>119</v>
      </c>
      <c r="C38" t="s">
        <v>120</v>
      </c>
      <c r="D38" s="1">
        <v>36.92</v>
      </c>
      <c r="E38" s="1">
        <v>20</v>
      </c>
      <c r="F38" s="1">
        <v>80</v>
      </c>
      <c r="G38" s="1">
        <v>16.920000000000002</v>
      </c>
      <c r="H38" s="1">
        <f>pe_nf[[#This Row],[P1]]+pe_nf[[#This Row],[L1]]</f>
        <v>56.92</v>
      </c>
      <c r="I38" s="1">
        <f>pe_nf[[#This Row],[P2]]+pe_nf[[#This Row],[L2]]</f>
        <v>96.92</v>
      </c>
      <c r="J38" s="1">
        <f>(pe_nf[[#This Row],[A1]]+pe_nf[[#This Row],[A2]]+IF(pe_nf[[#This Row],[2?]]="SIM",20,0))/2</f>
        <v>76.92</v>
      </c>
      <c r="K38" t="str">
        <f>IF(pe_nf[[#This Row],[Nota Final]]&gt;60,"APROVADO","REPROVADO")</f>
        <v>APROVADO</v>
      </c>
      <c r="L38" s="1"/>
    </row>
    <row r="39" spans="1:12" x14ac:dyDescent="0.25">
      <c r="A39" t="s">
        <v>121</v>
      </c>
      <c r="B39" t="s">
        <v>122</v>
      </c>
      <c r="C39" t="s">
        <v>123</v>
      </c>
      <c r="D39" s="1">
        <v>18.45</v>
      </c>
      <c r="E39" s="1">
        <v>20</v>
      </c>
      <c r="F39" s="1">
        <v>40</v>
      </c>
      <c r="G39" s="1">
        <v>0</v>
      </c>
      <c r="H39" s="1">
        <f>pe_nf[[#This Row],[P1]]+pe_nf[[#This Row],[L1]]</f>
        <v>38.450000000000003</v>
      </c>
      <c r="I39" s="1">
        <f>pe_nf[[#This Row],[P2]]+pe_nf[[#This Row],[L2]]</f>
        <v>40</v>
      </c>
      <c r="J39" s="1">
        <f>(pe_nf[[#This Row],[A1]]+pe_nf[[#This Row],[A2]]+IF(pe_nf[[#This Row],[2?]]="SIM",20,0))/2</f>
        <v>49.225000000000001</v>
      </c>
      <c r="K39" t="str">
        <f>IF(pe_nf[[#This Row],[Nota Final]]&gt;60,"APROVADO","REPROVADO")</f>
        <v>REPROVADO</v>
      </c>
      <c r="L39" s="1" t="s">
        <v>162</v>
      </c>
    </row>
  </sheetData>
  <phoneticPr fontId="18" type="noConversion"/>
  <conditionalFormatting sqref="K2:K39">
    <cfRule type="cellIs" dxfId="0" priority="1" operator="equal">
      <formula>"REPROVADO"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C49E4E-99F5-4208-90FB-46B9540C01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Programação em Ambiente Visual</vt:lpstr>
      <vt:lpstr>Programação Estruturada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Igu Pires</cp:lastModifiedBy>
  <dcterms:created xsi:type="dcterms:W3CDTF">2025-12-02T04:35:30Z</dcterms:created>
  <dcterms:modified xsi:type="dcterms:W3CDTF">2025-12-12T13:14:19Z</dcterms:modified>
</cp:coreProperties>
</file>